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HP\Desktop\TESIS 2\"/>
    </mc:Choice>
  </mc:AlternateContent>
  <xr:revisionPtr revIDLastSave="0" documentId="13_ncr:1_{60F77230-AD9C-4396-8155-E9DDEE5CDFCF}" xr6:coauthVersionLast="47" xr6:coauthVersionMax="47" xr10:uidLastSave="{00000000-0000-0000-0000-000000000000}"/>
  <bookViews>
    <workbookView xWindow="-120" yWindow="-120" windowWidth="20730" windowHeight="11310" xr2:uid="{00000000-000D-0000-FFFF-FFFF00000000}"/>
  </bookViews>
  <sheets>
    <sheet name="Diagrama de Gantt" sheetId="1" r:id="rId1"/>
    <sheet name="Hoja 2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1">
      <go:sheetsCustomData xmlns:go="http://customooxmlschemas.google.com/" r:id="rId6" roundtripDataSignature="AMtx7mhme3SBhRCDUaRxE1ffpxEUT2X8YA=="/>
    </ext>
  </extLst>
</workbook>
</file>

<file path=xl/calcChain.xml><?xml version="1.0" encoding="utf-8"?>
<calcChain xmlns="http://schemas.openxmlformats.org/spreadsheetml/2006/main">
  <c r="E29" i="1" l="1"/>
  <c r="F27" i="1"/>
  <c r="J27" i="1" s="1"/>
  <c r="F28" i="1"/>
  <c r="I28" i="1" s="1"/>
  <c r="F29" i="1"/>
  <c r="I29" i="1" s="1"/>
  <c r="F30" i="1"/>
  <c r="J30" i="1" s="1"/>
  <c r="E28" i="1"/>
  <c r="E27" i="1"/>
  <c r="F26" i="1"/>
  <c r="I26" i="1" s="1"/>
  <c r="E19" i="1"/>
  <c r="G19" i="1" s="1"/>
  <c r="F19" i="1" s="1"/>
  <c r="I19" i="1" s="1"/>
  <c r="F17" i="1"/>
  <c r="I17" i="1" s="1"/>
  <c r="F15" i="1"/>
  <c r="J15" i="1" s="1"/>
  <c r="F16" i="1"/>
  <c r="I16" i="1" s="1"/>
  <c r="F18" i="1"/>
  <c r="I18" i="1"/>
  <c r="J18" i="1"/>
  <c r="G20" i="1"/>
  <c r="F20" i="1" s="1"/>
  <c r="J20" i="1" s="1"/>
  <c r="F21" i="1"/>
  <c r="I21" i="1" s="1"/>
  <c r="F22" i="1"/>
  <c r="I22" i="1" s="1"/>
  <c r="F23" i="1"/>
  <c r="I23" i="1" s="1"/>
  <c r="F24" i="1"/>
  <c r="I24" i="1" s="1"/>
  <c r="J24" i="1"/>
  <c r="F25" i="1"/>
  <c r="I25" i="1" s="1"/>
  <c r="F13" i="1"/>
  <c r="J13" i="1" s="1"/>
  <c r="F14" i="1"/>
  <c r="I14" i="1" s="1"/>
  <c r="F12" i="1"/>
  <c r="I12" i="1" s="1"/>
  <c r="J26" i="1"/>
  <c r="J11" i="1"/>
  <c r="I11" i="1"/>
  <c r="M10" i="1"/>
  <c r="N10" i="1" s="1"/>
  <c r="J17" i="1" l="1"/>
  <c r="J16" i="1"/>
  <c r="I30" i="1"/>
  <c r="J29" i="1"/>
  <c r="I27" i="1"/>
  <c r="J28" i="1"/>
  <c r="J22" i="1"/>
  <c r="I20" i="1"/>
  <c r="J25" i="1"/>
  <c r="I15" i="1"/>
  <c r="J21" i="1"/>
  <c r="J19" i="1"/>
  <c r="J23" i="1"/>
  <c r="I13" i="1"/>
  <c r="J12" i="1"/>
  <c r="J14" i="1"/>
  <c r="O10" i="1"/>
  <c r="P10" i="1" l="1"/>
  <c r="Q10" i="1" l="1"/>
  <c r="R10" i="1" l="1"/>
  <c r="S10" i="1" l="1"/>
  <c r="T10" i="1" l="1"/>
  <c r="U10" i="1" l="1"/>
  <c r="V10" i="1" l="1"/>
  <c r="W10" i="1" l="1"/>
  <c r="X10" i="1" l="1"/>
  <c r="Y10" i="1" l="1"/>
  <c r="Z10" i="1" l="1"/>
  <c r="AA10" i="1" l="1"/>
</calcChain>
</file>

<file path=xl/sharedStrings.xml><?xml version="1.0" encoding="utf-8"?>
<sst xmlns="http://schemas.openxmlformats.org/spreadsheetml/2006/main" count="93" uniqueCount="74">
  <si>
    <t xml:space="preserve">Formulario: Cronograma de los trabajos y aplicación de entregables                                                        </t>
  </si>
  <si>
    <t>TÍTULO DEL PROYECTO</t>
  </si>
  <si>
    <t>PUCP</t>
  </si>
  <si>
    <t>RESPONSABLE DEL PROYECTO</t>
  </si>
  <si>
    <t>Día de inicio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</si>
  <si>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</si>
  <si>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</si>
  <si>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</si>
  <si>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</si>
  <si>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</si>
  <si>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</si>
  <si>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</si>
  <si>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</si>
  <si>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</si>
  <si>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</si>
  <si>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</si>
  <si>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</si>
  <si>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</si>
  <si>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</si>
  <si>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</si>
  <si>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</si>
  <si>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TÍTULO DE LA TAREA</t>
  </si>
  <si>
    <t>RESPONSABLE DE LA TAREA</t>
  </si>
  <si>
    <t>FECHA DE INICIO</t>
  </si>
  <si>
    <t>FECHA DE TÉRMINO</t>
  </si>
  <si>
    <t>FECHA DE FIN</t>
  </si>
  <si>
    <t>COMENTARIOS</t>
  </si>
  <si>
    <t>DIAS DE ATRASO</t>
  </si>
  <si>
    <t>DURACIÓN</t>
  </si>
  <si>
    <t>% COMPLETADO 
DE LA TAREA</t>
  </si>
  <si>
    <t>VALIDACION</t>
  </si>
  <si>
    <t>SI</t>
  </si>
  <si>
    <t>NO</t>
  </si>
  <si>
    <t>Sitema mecatrónico para la estimación semiautomatizada de parámetros de motores DC  hasta 12V</t>
  </si>
  <si>
    <t>Marco Antonio Hinojosa Gonzales</t>
  </si>
  <si>
    <t xml:space="preserve">NÚMERO </t>
  </si>
  <si>
    <t>Marco</t>
  </si>
  <si>
    <t>Terminar el documento final de TFC1</t>
  </si>
  <si>
    <t xml:space="preserve">CAD de piezas a montar para el sensado de velocidad </t>
  </si>
  <si>
    <t>Recopilar datasheets de componentes electrónicos a usar</t>
  </si>
  <si>
    <t>Diagrama esquemático de PCB (potencia y control)</t>
  </si>
  <si>
    <t>Diagrama esquemático de PCB (sensores)</t>
  </si>
  <si>
    <t>Planos de ensamble y despiece de las piezas a utilizar</t>
  </si>
  <si>
    <t>Desarrollo de los algoritmos de identificación</t>
  </si>
  <si>
    <t>Desarrollo de la interfaz de usuario</t>
  </si>
  <si>
    <t>Montaje de los componentes de la PCB</t>
  </si>
  <si>
    <t>Prueba de sensado con el HW</t>
  </si>
  <si>
    <t>Integración del HW con el SW diseñado</t>
  </si>
  <si>
    <t>Fecha de fin</t>
  </si>
  <si>
    <t>Se realizan las correciones del documento de tesis dadas en el curso TFC1 y se añade infoirmación que complemente los capítulos de diseño para el curso de TFC2</t>
  </si>
  <si>
    <t>CAD de chasis y componentes de fijación</t>
  </si>
  <si>
    <t>Ruteo de las PCB</t>
  </si>
  <si>
    <t>Manufactura y armado del chasis y soportes para las PCB</t>
  </si>
  <si>
    <t>Documentación de planos, esquemáticos, diagramas de  flujo y pruebas físicas</t>
  </si>
  <si>
    <t>Validación con mediciones empíricas</t>
  </si>
  <si>
    <t>Manufactura de la PCB (envio desde China alrededor de 1 semana) - Prototipo</t>
  </si>
  <si>
    <t>Manufactura de la PCB - Diseño final</t>
  </si>
  <si>
    <t>Integración con el nuevo HW</t>
  </si>
  <si>
    <t>Documentación y pruebas finales</t>
  </si>
  <si>
    <t>Se realiza la documentació y búsqueda de componentes necesarios para el control y sensado durante la estimación.</t>
  </si>
  <si>
    <t>Ambas tareas se deberán realizar en simultáneo para realizar el ensamble de todas las pieas mecánicas.</t>
  </si>
  <si>
    <t>Se utilizan los componentes útiles que se han recopilado hasta la fecha para desarrollar una placa de control y otra de acondicionamiento para los sensores.</t>
  </si>
  <si>
    <t>Documentación para el Avance 1</t>
  </si>
  <si>
    <t>Tarea ligada a la anterior, una vez finalizado el diagrama esquemático, se procederá a rutear siguendo las normas IPC y reglas de diseño de la empresa que desarrollará la manufactura.</t>
  </si>
  <si>
    <t>Se realizará el montaje teniendo en cuenta las dimensiones de las PCB y que la  máquina sea de facíl uso por el usuario</t>
  </si>
  <si>
    <t>Tareas que deberán realizarse en paralelo, tiene un mayor tiempo debido a la complejidad de realizar la implementación de SW.</t>
  </si>
  <si>
    <t>Tarea que depende de la fecha en que se termine el diseño. Una ves realizado y validado por el asesor, mandar a fabricar la PCB de prototipo.</t>
  </si>
  <si>
    <t>Una vez llegue la PCB de prototipo, se deberá terminarde soldar por mi cuenta con los componentes que poseo.</t>
  </si>
  <si>
    <t>Documentación para Avance 2</t>
  </si>
  <si>
    <t>Pruebas de integración entre el HW y SW. Documentación de las pruebas realizadas</t>
  </si>
  <si>
    <t>DOCUMENTACIÓN DEL DOCUMENTO FINAL Y CONCLUSIONES DE LAS ESTIMACIONES</t>
  </si>
  <si>
    <t>AVANCE 1</t>
  </si>
  <si>
    <t>AVANCE 2</t>
  </si>
  <si>
    <t>AVANCE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</si>
</sst>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&quot;/&quot;mm&quot;/&quot;yy"/>
    <numFmt numFmtId="165" formatCode="dd/mm/yyyy"/>
    <numFmt numFmtId="166" formatCode="0\ %"/>
  </numFmts>
  <fonts count="24" x14ac:knownFonts="1">
    <font>
      <sz val="10"/>
      <color rgb="FF000000"/>
      <name val="Arial"/>
    </font>
    <font>
      <b/>
      <sz val="18"/>
      <color rgb="FF000000"/>
      <name val="Roboto"/>
    </font>
    <font>
      <b/>
      <sz val="12"/>
      <color rgb="FF0B5394"/>
      <name val="Roboto"/>
    </font>
    <font>
      <sz val="10"/>
      <name val="Arial"/>
    </font>
    <font>
      <b/>
      <sz val="12"/>
      <color rgb="FF000000"/>
      <name val="Roboto"/>
    </font>
    <font>
      <sz val="12"/>
      <color rgb="FF000000"/>
      <name val="Roboto"/>
    </font>
    <font>
      <b/>
      <sz val="10"/>
      <color rgb="FF666666"/>
      <name val="Roboto"/>
    </font>
    <font>
      <sz val="10"/>
      <color rgb="FF999999"/>
      <name val="Roboto"/>
    </font>
    <font>
      <b/>
      <sz val="9"/>
      <color rgb="FF000000"/>
      <name val="Roboto"/>
    </font>
    <font>
      <b/>
      <sz val="10"/>
      <color rgb="FF666666"/>
      <name val="Roboto"/>
    </font>
    <font>
      <sz val="10"/>
      <color rgb="FF999999"/>
      <name val="Roboto"/>
    </font>
    <font>
      <sz val="10"/>
      <color theme="1"/>
      <name val="Arial"/>
    </font>
    <font>
      <sz val="11"/>
      <color theme="1"/>
      <name val="Roboto"/>
    </font>
    <font>
      <sz val="10"/>
      <color rgb="FF434343"/>
      <name val="Roboto"/>
    </font>
    <font>
      <sz val="10"/>
      <color rgb="FF0000FF"/>
      <name val="Roboto"/>
    </font>
    <font>
      <sz val="10"/>
      <color theme="1"/>
      <name val="Calibri"/>
    </font>
    <font>
      <b/>
      <sz val="9"/>
      <color rgb="FFFFFFFF"/>
      <name val="Roboto"/>
    </font>
    <font>
      <b/>
      <sz val="8"/>
      <color theme="1"/>
      <name val="Roboto"/>
    </font>
    <font>
      <sz val="9"/>
      <color theme="1"/>
      <name val="Roboto"/>
    </font>
    <font>
      <sz val="10"/>
      <color rgb="FF000000"/>
      <name val="Roboto"/>
    </font>
    <font>
      <b/>
      <sz val="10"/>
      <color rgb="FF000000"/>
      <name val="Roboto"/>
    </font>
    <font>
      <b/>
      <sz val="10"/>
      <color rgb="FFFF0000"/>
      <name val="Roboto"/>
    </font>
    <font>
      <sz val="10"/>
      <color theme="1"/>
      <name val="Roboto"/>
    </font>
    <font>
      <sz val="8"/>
      <name val="Arial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0B5394"/>
        <bgColor rgb="FF0B5394"/>
      </patternFill>
    </fill>
    <fill>
      <patternFill patternType="solid">
        <fgColor rgb="FFBDD7EE"/>
        <bgColor rgb="FFBDD7EE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theme="9" tint="0.59999389629810485"/>
        <bgColor rgb="FFD9EAD3"/>
      </patternFill>
    </fill>
    <fill>
      <patternFill patternType="solid">
        <fgColor theme="4" tint="0.39997558519241921"/>
        <bgColor rgb="FFD9EAD3"/>
      </patternFill>
    </fill>
    <fill>
      <patternFill patternType="solid">
        <fgColor theme="5" tint="0.39997558519241921"/>
        <bgColor rgb="FFD9EAD3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D9EAD3"/>
      </patternFill>
    </fill>
  </fills>
  <borders count="15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0B5394"/>
      </top>
      <bottom/>
      <diagonal/>
    </border>
    <border>
      <left style="thin">
        <color rgb="FF0B5394"/>
      </left>
      <right/>
      <top style="thin">
        <color rgb="FFB7B7B7"/>
      </top>
      <bottom style="thin">
        <color rgb="FFB7B7B7"/>
      </bottom>
      <diagonal/>
    </border>
    <border>
      <left style="thin">
        <color rgb="FF0B5394"/>
      </left>
      <right style="thin">
        <color rgb="FFB7B7B7"/>
      </right>
      <top style="thin">
        <color rgb="FFB7B7B7"/>
      </top>
      <bottom style="thin">
        <color rgb="FF0B5394"/>
      </bottom>
      <diagonal/>
    </border>
    <border>
      <left/>
      <right style="thin">
        <color rgb="FF0C343D"/>
      </right>
      <top style="thin">
        <color rgb="FF0C343D"/>
      </top>
      <bottom style="thin">
        <color rgb="FFB7B7B7"/>
      </bottom>
      <diagonal/>
    </border>
    <border>
      <left/>
      <right style="hair">
        <color rgb="FFB7B7B7"/>
      </right>
      <top/>
      <bottom style="hair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C343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6">
    <xf numFmtId="0" fontId="0" fillId="0" borderId="0" xfId="0" applyFont="1" applyAlignment="1"/>
    <xf numFmtId="0" fontId="1" fillId="2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 wrapText="1"/>
    </xf>
    <xf numFmtId="0" fontId="8" fillId="2" borderId="0" xfId="0" applyFont="1" applyFill="1" applyAlignment="1">
      <alignment horizontal="center" vertical="center" wrapText="1"/>
    </xf>
    <xf numFmtId="0" fontId="11" fillId="2" borderId="0" xfId="0" applyFont="1" applyFill="1"/>
    <xf numFmtId="0" fontId="10" fillId="0" borderId="0" xfId="0" applyFont="1"/>
    <xf numFmtId="0" fontId="6" fillId="0" borderId="0" xfId="0" applyFont="1" applyAlignment="1">
      <alignment horizontal="left" vertical="center"/>
    </xf>
    <xf numFmtId="0" fontId="11" fillId="0" borderId="0" xfId="0" applyFont="1"/>
    <xf numFmtId="164" fontId="10" fillId="0" borderId="0" xfId="0" applyNumberFormat="1" applyFont="1" applyAlignment="1">
      <alignment horizontal="left"/>
    </xf>
    <xf numFmtId="0" fontId="12" fillId="0" borderId="0" xfId="0" applyFont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left" vertical="center" wrapText="1"/>
    </xf>
    <xf numFmtId="14" fontId="14" fillId="0" borderId="0" xfId="0" applyNumberFormat="1" applyFont="1" applyAlignment="1">
      <alignment horizontal="left" vertical="center" wrapText="1"/>
    </xf>
    <xf numFmtId="0" fontId="15" fillId="2" borderId="0" xfId="0" applyFont="1" applyFill="1" applyAlignment="1">
      <alignment horizontal="center" vertical="center" wrapText="1"/>
    </xf>
    <xf numFmtId="0" fontId="16" fillId="4" borderId="3" xfId="0" applyFont="1" applyFill="1" applyBorder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0" fontId="17" fillId="0" borderId="0" xfId="0" applyFont="1" applyAlignment="1">
      <alignment vertical="center"/>
    </xf>
    <xf numFmtId="0" fontId="16" fillId="2" borderId="0" xfId="0" applyFont="1" applyFill="1" applyAlignment="1">
      <alignment horizontal="center" vertical="center" wrapText="1"/>
    </xf>
    <xf numFmtId="0" fontId="18" fillId="0" borderId="0" xfId="0" applyFont="1" applyAlignment="1">
      <alignment vertical="center"/>
    </xf>
    <xf numFmtId="0" fontId="19" fillId="2" borderId="0" xfId="0" applyFont="1" applyFill="1" applyAlignment="1">
      <alignment horizontal="center" vertical="center" wrapText="1"/>
    </xf>
    <xf numFmtId="166" fontId="13" fillId="0" borderId="6" xfId="0" applyNumberFormat="1" applyFont="1" applyBorder="1" applyAlignment="1">
      <alignment horizontal="center" vertical="center" wrapText="1"/>
    </xf>
    <xf numFmtId="9" fontId="20" fillId="2" borderId="7" xfId="0" applyNumberFormat="1" applyFont="1" applyFill="1" applyBorder="1" applyAlignment="1">
      <alignment horizontal="center" vertical="center"/>
    </xf>
    <xf numFmtId="9" fontId="20" fillId="2" borderId="8" xfId="0" applyNumberFormat="1" applyFont="1" applyFill="1" applyBorder="1" applyAlignment="1">
      <alignment horizontal="center" vertical="center"/>
    </xf>
    <xf numFmtId="9" fontId="20" fillId="0" borderId="8" xfId="0" applyNumberFormat="1" applyFont="1" applyBorder="1" applyAlignment="1">
      <alignment horizontal="center" vertical="center"/>
    </xf>
    <xf numFmtId="9" fontId="21" fillId="0" borderId="8" xfId="0" applyNumberFormat="1" applyFont="1" applyBorder="1" applyAlignment="1">
      <alignment horizontal="center" vertical="center"/>
    </xf>
    <xf numFmtId="9" fontId="21" fillId="2" borderId="8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vertical="center"/>
    </xf>
    <xf numFmtId="49" fontId="19" fillId="2" borderId="0" xfId="0" applyNumberFormat="1" applyFont="1" applyFill="1" applyAlignment="1">
      <alignment horizontal="center" vertical="center" wrapText="1"/>
    </xf>
    <xf numFmtId="0" fontId="15" fillId="0" borderId="0" xfId="0" applyFont="1"/>
    <xf numFmtId="0" fontId="19" fillId="6" borderId="9" xfId="0" applyFont="1" applyFill="1" applyBorder="1" applyAlignment="1">
      <alignment horizontal="center" vertical="center" wrapText="1"/>
    </xf>
    <xf numFmtId="0" fontId="19" fillId="6" borderId="9" xfId="0" applyFont="1" applyFill="1" applyBorder="1" applyAlignment="1">
      <alignment horizontal="left" vertical="center" wrapText="1"/>
    </xf>
    <xf numFmtId="14" fontId="19" fillId="6" borderId="9" xfId="0" applyNumberFormat="1" applyFont="1" applyFill="1" applyBorder="1" applyAlignment="1">
      <alignment horizontal="center" vertical="center" wrapText="1"/>
    </xf>
    <xf numFmtId="165" fontId="8" fillId="5" borderId="5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20" fillId="7" borderId="8" xfId="0" applyFont="1" applyFill="1" applyBorder="1" applyAlignment="1">
      <alignment horizontal="center" vertical="center"/>
    </xf>
    <xf numFmtId="0" fontId="20" fillId="8" borderId="8" xfId="0" applyFont="1" applyFill="1" applyBorder="1" applyAlignment="1">
      <alignment horizontal="center" vertical="center"/>
    </xf>
    <xf numFmtId="9" fontId="20" fillId="7" borderId="8" xfId="0" applyNumberFormat="1" applyFont="1" applyFill="1" applyBorder="1" applyAlignment="1">
      <alignment horizontal="center" vertical="center"/>
    </xf>
    <xf numFmtId="0" fontId="19" fillId="9" borderId="9" xfId="0" applyFont="1" applyFill="1" applyBorder="1" applyAlignment="1">
      <alignment horizontal="center" vertical="center" wrapText="1"/>
    </xf>
    <xf numFmtId="0" fontId="19" fillId="9" borderId="9" xfId="0" applyFont="1" applyFill="1" applyBorder="1" applyAlignment="1">
      <alignment horizontal="left" vertical="center" wrapText="1"/>
    </xf>
    <xf numFmtId="14" fontId="19" fillId="9" borderId="9" xfId="0" applyNumberFormat="1" applyFont="1" applyFill="1" applyBorder="1" applyAlignment="1">
      <alignment horizontal="center" vertical="center" wrapText="1"/>
    </xf>
    <xf numFmtId="0" fontId="19" fillId="9" borderId="9" xfId="0" applyNumberFormat="1" applyFont="1" applyFill="1" applyBorder="1" applyAlignment="1">
      <alignment horizontal="center" vertical="center" wrapText="1"/>
    </xf>
    <xf numFmtId="0" fontId="19" fillId="10" borderId="9" xfId="0" applyFont="1" applyFill="1" applyBorder="1" applyAlignment="1">
      <alignment horizontal="left" vertical="center" wrapText="1"/>
    </xf>
    <xf numFmtId="0" fontId="19" fillId="10" borderId="9" xfId="0" applyFont="1" applyFill="1" applyBorder="1" applyAlignment="1">
      <alignment horizontal="center" vertical="center" wrapText="1"/>
    </xf>
    <xf numFmtId="14" fontId="19" fillId="10" borderId="9" xfId="0" applyNumberFormat="1" applyFont="1" applyFill="1" applyBorder="1" applyAlignment="1">
      <alignment horizontal="center" vertical="center" wrapText="1"/>
    </xf>
    <xf numFmtId="0" fontId="19" fillId="11" borderId="9" xfId="0" applyFont="1" applyFill="1" applyBorder="1" applyAlignment="1">
      <alignment horizontal="left" vertical="center" wrapText="1"/>
    </xf>
    <xf numFmtId="0" fontId="19" fillId="11" borderId="9" xfId="0" applyFont="1" applyFill="1" applyBorder="1" applyAlignment="1">
      <alignment horizontal="center" vertical="center" wrapText="1"/>
    </xf>
    <xf numFmtId="14" fontId="19" fillId="11" borderId="9" xfId="0" applyNumberFormat="1" applyFont="1" applyFill="1" applyBorder="1" applyAlignment="1">
      <alignment horizontal="center" vertical="center" wrapText="1"/>
    </xf>
    <xf numFmtId="9" fontId="20" fillId="12" borderId="8" xfId="0" applyNumberFormat="1" applyFont="1" applyFill="1" applyBorder="1" applyAlignment="1">
      <alignment horizontal="center" vertical="center"/>
    </xf>
    <xf numFmtId="9" fontId="21" fillId="12" borderId="8" xfId="0" applyNumberFormat="1" applyFont="1" applyFill="1" applyBorder="1" applyAlignment="1">
      <alignment horizontal="center" vertical="center"/>
    </xf>
    <xf numFmtId="9" fontId="21" fillId="7" borderId="8" xfId="0" applyNumberFormat="1" applyFont="1" applyFill="1" applyBorder="1" applyAlignment="1">
      <alignment horizontal="center" vertical="center"/>
    </xf>
    <xf numFmtId="0" fontId="19" fillId="6" borderId="12" xfId="0" applyFont="1" applyFill="1" applyBorder="1" applyAlignment="1">
      <alignment horizontal="center" vertical="center" wrapText="1"/>
    </xf>
    <xf numFmtId="0" fontId="19" fillId="6" borderId="14" xfId="0" applyFont="1" applyFill="1" applyBorder="1" applyAlignment="1">
      <alignment horizontal="center" vertical="center" wrapText="1"/>
    </xf>
    <xf numFmtId="0" fontId="19" fillId="6" borderId="13" xfId="0" applyFont="1" applyFill="1" applyBorder="1" applyAlignment="1">
      <alignment horizontal="center" vertical="center" wrapText="1"/>
    </xf>
    <xf numFmtId="0" fontId="16" fillId="3" borderId="0" xfId="0" applyFont="1" applyFill="1" applyAlignment="1">
      <alignment horizontal="center" vertical="center" wrapText="1"/>
    </xf>
    <xf numFmtId="0" fontId="16" fillId="3" borderId="11" xfId="0" applyFont="1" applyFill="1" applyBorder="1" applyAlignment="1">
      <alignment horizontal="center" vertical="center" wrapText="1"/>
    </xf>
    <xf numFmtId="0" fontId="16" fillId="3" borderId="10" xfId="0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left"/>
    </xf>
    <xf numFmtId="0" fontId="0" fillId="0" borderId="0" xfId="0" applyFont="1" applyAlignment="1"/>
    <xf numFmtId="0" fontId="9" fillId="0" borderId="0" xfId="0" applyFont="1"/>
    <xf numFmtId="0" fontId="1" fillId="2" borderId="1" xfId="0" applyFont="1" applyFill="1" applyBorder="1" applyAlignment="1">
      <alignment horizontal="left" vertical="center" wrapText="1"/>
    </xf>
    <xf numFmtId="0" fontId="3" fillId="0" borderId="1" xfId="0" applyFont="1" applyBorder="1"/>
    <xf numFmtId="0" fontId="2" fillId="2" borderId="1" xfId="0" applyFont="1" applyFill="1" applyBorder="1" applyAlignment="1">
      <alignment horizontal="left" vertical="center"/>
    </xf>
    <xf numFmtId="0" fontId="4" fillId="0" borderId="2" xfId="0" applyFont="1" applyBorder="1" applyAlignment="1">
      <alignment horizontal="left" vertical="center" wrapText="1"/>
    </xf>
    <xf numFmtId="0" fontId="3" fillId="0" borderId="2" xfId="0" applyFont="1" applyBorder="1"/>
    <xf numFmtId="0" fontId="5" fillId="2" borderId="2" xfId="0" applyFont="1" applyFill="1" applyBorder="1" applyAlignment="1">
      <alignment vertical="center"/>
    </xf>
    <xf numFmtId="0" fontId="6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10" fillId="0" borderId="0" xfId="0" applyFont="1"/>
    <xf numFmtId="0" fontId="7" fillId="2" borderId="0" xfId="0" applyFont="1" applyFill="1" applyAlignment="1"/>
    <xf numFmtId="0" fontId="7" fillId="0" borderId="0" xfId="0" applyFont="1"/>
    <xf numFmtId="0" fontId="6" fillId="0" borderId="0" xfId="0" applyFont="1"/>
    <xf numFmtId="0" fontId="19" fillId="13" borderId="9" xfId="0" applyNumberFormat="1" applyFont="1" applyFill="1" applyBorder="1" applyAlignment="1">
      <alignment horizontal="center" vertical="center" wrapText="1"/>
    </xf>
    <xf numFmtId="0" fontId="19" fillId="13" borderId="9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 patternType="solid">
          <fgColor rgb="FFEAD1DC"/>
          <bgColor rgb="FFEAD1D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D85C6"/>
    <outlinePr summaryBelow="0" summaryRight="0"/>
  </sheetPr>
  <dimension ref="A1:AB958"/>
  <sheetViews>
    <sheetView showGridLines="0" tabSelected="1" zoomScaleNormal="100" workbookViewId="0">
      <pane ySplit="10" topLeftCell="A15" activePane="bottomLeft" state="frozen"/>
      <selection pane="bottomLeft" activeCell="D29" sqref="D29"/>
    </sheetView>
  </sheetViews>
  <sheetFormatPr baseColWidth="10" defaultColWidth="14.42578125" defaultRowHeight="15" customHeight="1" outlineLevelRow="1" x14ac:dyDescent="0.2"/>
  <cols>
    <col min="1" max="1" width="9.42578125" customWidth="1"/>
    <col min="2" max="2" width="19" customWidth="1"/>
    <col min="3" max="3" width="26.85546875" customWidth="1"/>
    <col min="4" max="4" width="13.5703125" customWidth="1"/>
    <col min="5" max="7" width="11" customWidth="1"/>
    <col min="8" max="8" width="42.5703125" customWidth="1"/>
    <col min="9" max="9" width="10.85546875" customWidth="1"/>
    <col min="10" max="10" width="12.42578125" customWidth="1"/>
    <col min="11" max="11" width="14.85546875" customWidth="1"/>
    <col min="12" max="14" width="20.7109375" hidden="1" customWidth="1"/>
    <col min="15" max="27" width="20.7109375" customWidth="1"/>
    <col min="28" max="28" width="3.85546875" customWidth="1"/>
  </cols>
  <sheetData>
    <row r="1" spans="1:28" ht="15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5.75" customHeight="1" thickBot="1" x14ac:dyDescent="0.25">
      <c r="A2" s="1"/>
      <c r="B2" s="62" t="s">
        <v>0</v>
      </c>
      <c r="C2" s="63"/>
      <c r="D2" s="63"/>
      <c r="E2" s="63"/>
      <c r="F2" s="63"/>
      <c r="G2" s="63"/>
      <c r="H2" s="63"/>
      <c r="I2" s="63"/>
      <c r="J2" s="63"/>
      <c r="K2" s="63"/>
      <c r="L2" s="64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</row>
    <row r="3" spans="1:28" ht="15.75" customHeight="1" thickTop="1" x14ac:dyDescent="0.2">
      <c r="A3" s="3"/>
      <c r="B3" s="65"/>
      <c r="C3" s="66"/>
      <c r="D3" s="67"/>
      <c r="E3" s="66"/>
      <c r="F3" s="66"/>
      <c r="G3" s="66"/>
      <c r="H3" s="66"/>
      <c r="I3" s="66"/>
      <c r="J3" s="66"/>
      <c r="K3" s="66"/>
      <c r="L3" s="68"/>
      <c r="M3" s="66"/>
      <c r="N3" s="66"/>
      <c r="O3" s="66"/>
      <c r="P3" s="66"/>
      <c r="Q3" s="66"/>
      <c r="R3" s="66"/>
      <c r="S3" s="66"/>
      <c r="T3" s="66"/>
      <c r="U3" s="69"/>
      <c r="V3" s="66"/>
      <c r="W3" s="66"/>
      <c r="X3" s="66"/>
      <c r="Y3" s="66"/>
      <c r="Z3" s="66"/>
      <c r="AA3" s="66"/>
    </row>
    <row r="4" spans="1:28" ht="15.75" customHeight="1" x14ac:dyDescent="0.2">
      <c r="A4" s="4"/>
      <c r="B4" s="61" t="s">
        <v>1</v>
      </c>
      <c r="C4" s="60"/>
      <c r="D4" s="71" t="s">
        <v>33</v>
      </c>
      <c r="E4" s="60"/>
      <c r="F4" s="60"/>
      <c r="G4" s="60"/>
      <c r="H4" s="60"/>
      <c r="I4" s="5"/>
      <c r="J4" s="61" t="s">
        <v>2</v>
      </c>
      <c r="K4" s="60"/>
      <c r="L4" s="7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"/>
      <c r="Z4" s="6"/>
      <c r="AA4" s="6"/>
    </row>
    <row r="5" spans="1:28" ht="15.75" customHeight="1" x14ac:dyDescent="0.2">
      <c r="A5" s="4"/>
      <c r="B5" s="61" t="s">
        <v>3</v>
      </c>
      <c r="C5" s="60"/>
      <c r="D5" s="72" t="s">
        <v>34</v>
      </c>
      <c r="E5" s="60"/>
      <c r="F5" s="60"/>
      <c r="G5" s="60"/>
      <c r="H5" s="60"/>
      <c r="I5" s="8"/>
      <c r="J5" s="73" t="s">
        <v>48</v>
      </c>
      <c r="K5" s="60"/>
      <c r="L5" s="59">
        <v>45991</v>
      </c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9"/>
      <c r="Y5" s="9"/>
      <c r="Z5" s="9"/>
      <c r="AA5" s="9"/>
    </row>
    <row r="6" spans="1:28" ht="15.75" customHeight="1" x14ac:dyDescent="0.2">
      <c r="A6" s="4"/>
      <c r="B6" s="61" t="s">
        <v>4</v>
      </c>
      <c r="C6" s="60"/>
      <c r="D6" s="59">
        <v>45918</v>
      </c>
      <c r="E6" s="60"/>
      <c r="F6" s="60"/>
      <c r="G6" s="60"/>
      <c r="H6" s="60"/>
      <c r="I6" s="60"/>
      <c r="J6" s="60"/>
      <c r="K6" s="60"/>
      <c r="L6" s="60"/>
      <c r="M6" s="60"/>
      <c r="N6" s="60"/>
      <c r="O6" s="60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10"/>
    </row>
    <row r="7" spans="1:28" ht="15.75" customHeight="1" x14ac:dyDescent="0.2">
      <c r="A7" s="11"/>
      <c r="B7" s="12"/>
      <c r="C7" s="7"/>
      <c r="D7" s="13"/>
      <c r="E7" s="13"/>
      <c r="F7" s="13"/>
      <c r="G7" s="13"/>
      <c r="H7" s="14"/>
      <c r="I7" s="13"/>
      <c r="J7" s="13"/>
      <c r="K7" s="13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10"/>
    </row>
    <row r="8" spans="1:28" ht="30" customHeight="1" x14ac:dyDescent="0.2">
      <c r="A8" s="15"/>
      <c r="B8" s="56" t="s">
        <v>35</v>
      </c>
      <c r="C8" s="56" t="s">
        <v>21</v>
      </c>
      <c r="D8" s="56" t="s">
        <v>22</v>
      </c>
      <c r="E8" s="56" t="s">
        <v>23</v>
      </c>
      <c r="F8" s="56" t="s">
        <v>24</v>
      </c>
      <c r="G8" s="56" t="s">
        <v>25</v>
      </c>
      <c r="H8" s="56" t="s">
        <v>26</v>
      </c>
      <c r="I8" s="56" t="s">
        <v>27</v>
      </c>
      <c r="J8" s="56" t="s">
        <v>28</v>
      </c>
      <c r="K8" s="56" t="s">
        <v>29</v>
      </c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0"/>
    </row>
    <row r="9" spans="1:28" ht="25.5" customHeight="1" x14ac:dyDescent="0.2">
      <c r="A9" s="17"/>
      <c r="B9" s="56"/>
      <c r="C9" s="56"/>
      <c r="D9" s="56"/>
      <c r="E9" s="56"/>
      <c r="F9" s="56"/>
      <c r="G9" s="56"/>
      <c r="H9" s="56"/>
      <c r="I9" s="56"/>
      <c r="J9" s="56"/>
      <c r="K9" s="56"/>
      <c r="L9" s="18" t="s">
        <v>5</v>
      </c>
      <c r="M9" s="18" t="s">
        <v>6</v>
      </c>
      <c r="N9" s="18" t="s">
        <v>7</v>
      </c>
      <c r="O9" s="18" t="s">
        <v>8</v>
      </c>
      <c r="P9" s="18" t="s">
        <v>9</v>
      </c>
      <c r="Q9" s="18" t="s">
        <v>10</v>
      </c>
      <c r="R9" s="18" t="s">
        <v>11</v>
      </c>
      <c r="S9" s="18" t="s">
        <v>12</v>
      </c>
      <c r="T9" s="18" t="s">
        <v>13</v>
      </c>
      <c r="U9" s="18" t="s">
        <v>14</v>
      </c>
      <c r="V9" s="18" t="s">
        <v>15</v>
      </c>
      <c r="W9" s="18" t="s">
        <v>16</v>
      </c>
      <c r="X9" s="18" t="s">
        <v>17</v>
      </c>
      <c r="Y9" s="18" t="s">
        <v>18</v>
      </c>
      <c r="Z9" s="18" t="s">
        <v>19</v>
      </c>
      <c r="AA9" s="18" t="s">
        <v>20</v>
      </c>
      <c r="AB9" s="19"/>
    </row>
    <row r="10" spans="1:28" ht="37.5" customHeight="1" x14ac:dyDescent="0.2">
      <c r="A10" s="20"/>
      <c r="B10" s="58"/>
      <c r="C10" s="58"/>
      <c r="D10" s="58"/>
      <c r="E10" s="58"/>
      <c r="F10" s="58"/>
      <c r="G10" s="58"/>
      <c r="H10" s="58"/>
      <c r="I10" s="58"/>
      <c r="J10" s="58"/>
      <c r="K10" s="57"/>
      <c r="L10" s="35">
        <v>45889</v>
      </c>
      <c r="M10" s="35">
        <f t="shared" ref="M10:AA10" si="0">L10+7</f>
        <v>45896</v>
      </c>
      <c r="N10" s="35">
        <f t="shared" si="0"/>
        <v>45903</v>
      </c>
      <c r="O10" s="35">
        <f t="shared" si="0"/>
        <v>45910</v>
      </c>
      <c r="P10" s="35">
        <f t="shared" si="0"/>
        <v>45917</v>
      </c>
      <c r="Q10" s="35">
        <f t="shared" si="0"/>
        <v>45924</v>
      </c>
      <c r="R10" s="35">
        <f t="shared" si="0"/>
        <v>45931</v>
      </c>
      <c r="S10" s="35">
        <f t="shared" si="0"/>
        <v>45938</v>
      </c>
      <c r="T10" s="35">
        <f t="shared" si="0"/>
        <v>45945</v>
      </c>
      <c r="U10" s="35">
        <f t="shared" si="0"/>
        <v>45952</v>
      </c>
      <c r="V10" s="35">
        <f t="shared" si="0"/>
        <v>45959</v>
      </c>
      <c r="W10" s="35">
        <f t="shared" si="0"/>
        <v>45966</v>
      </c>
      <c r="X10" s="35">
        <f t="shared" si="0"/>
        <v>45973</v>
      </c>
      <c r="Y10" s="35">
        <f t="shared" si="0"/>
        <v>45980</v>
      </c>
      <c r="Z10" s="35">
        <f t="shared" si="0"/>
        <v>45987</v>
      </c>
      <c r="AA10" s="35">
        <f t="shared" si="0"/>
        <v>45994</v>
      </c>
      <c r="AB10" s="21"/>
    </row>
    <row r="11" spans="1:28" ht="84" customHeight="1" outlineLevel="1" x14ac:dyDescent="0.2">
      <c r="A11" s="22"/>
      <c r="B11" s="40">
        <v>1</v>
      </c>
      <c r="C11" s="41" t="s">
        <v>37</v>
      </c>
      <c r="D11" s="40" t="s">
        <v>36</v>
      </c>
      <c r="E11" s="42">
        <v>45894</v>
      </c>
      <c r="F11" s="42">
        <v>45909</v>
      </c>
      <c r="G11" s="42">
        <v>45915</v>
      </c>
      <c r="H11" s="32" t="s">
        <v>49</v>
      </c>
      <c r="I11" s="32">
        <f t="shared" ref="I11:I30" si="1">G11-F11</f>
        <v>6</v>
      </c>
      <c r="J11" s="32">
        <f t="shared" ref="J11:J30" si="2">DAYS360(E11,F11)+1</f>
        <v>15</v>
      </c>
      <c r="K11" s="23">
        <v>0.75</v>
      </c>
      <c r="L11" s="37"/>
      <c r="M11" s="37"/>
      <c r="N11" s="37"/>
      <c r="O11" s="37"/>
      <c r="P11" s="38"/>
      <c r="Q11" s="25"/>
      <c r="R11" s="25"/>
      <c r="S11" s="26"/>
      <c r="T11" s="26"/>
      <c r="U11" s="26"/>
      <c r="V11" s="26"/>
      <c r="W11" s="27"/>
      <c r="X11" s="27"/>
      <c r="Y11" s="27"/>
      <c r="Z11" s="28"/>
      <c r="AA11" s="26"/>
      <c r="AB11" s="29"/>
    </row>
    <row r="12" spans="1:28" ht="51.75" customHeight="1" outlineLevel="1" x14ac:dyDescent="0.2">
      <c r="A12" s="30"/>
      <c r="B12" s="43">
        <v>2</v>
      </c>
      <c r="C12" s="41" t="s">
        <v>39</v>
      </c>
      <c r="D12" s="40" t="s">
        <v>36</v>
      </c>
      <c r="E12" s="42">
        <v>45908</v>
      </c>
      <c r="F12" s="42">
        <f>G12</f>
        <v>45915</v>
      </c>
      <c r="G12" s="42">
        <v>45915</v>
      </c>
      <c r="H12" s="32" t="s">
        <v>59</v>
      </c>
      <c r="I12" s="32">
        <f t="shared" si="1"/>
        <v>0</v>
      </c>
      <c r="J12" s="32">
        <f t="shared" si="2"/>
        <v>8</v>
      </c>
      <c r="K12" s="23">
        <v>0.75</v>
      </c>
      <c r="L12" s="24"/>
      <c r="M12" s="25"/>
      <c r="N12" s="25"/>
      <c r="O12" s="39"/>
      <c r="P12" s="39"/>
      <c r="Q12" s="25"/>
      <c r="R12" s="26"/>
      <c r="S12" s="26"/>
      <c r="T12" s="26"/>
      <c r="U12" s="26"/>
      <c r="V12" s="26"/>
      <c r="W12" s="27"/>
      <c r="X12" s="27"/>
      <c r="Y12" s="27"/>
      <c r="Z12" s="28"/>
      <c r="AA12" s="26"/>
      <c r="AB12" s="29"/>
    </row>
    <row r="13" spans="1:28" ht="26.25" customHeight="1" outlineLevel="1" x14ac:dyDescent="0.2">
      <c r="A13" s="22"/>
      <c r="B13" s="40">
        <v>3</v>
      </c>
      <c r="C13" s="41" t="s">
        <v>38</v>
      </c>
      <c r="D13" s="40" t="s">
        <v>36</v>
      </c>
      <c r="E13" s="42">
        <v>45915</v>
      </c>
      <c r="F13" s="42">
        <f t="shared" ref="F13:F14" si="3">G13</f>
        <v>45921</v>
      </c>
      <c r="G13" s="42">
        <v>45921</v>
      </c>
      <c r="H13" s="53" t="s">
        <v>60</v>
      </c>
      <c r="I13" s="32">
        <f t="shared" si="1"/>
        <v>0</v>
      </c>
      <c r="J13" s="32">
        <f t="shared" si="2"/>
        <v>7</v>
      </c>
      <c r="K13" s="23">
        <v>0.1</v>
      </c>
      <c r="L13" s="24"/>
      <c r="M13" s="25"/>
      <c r="N13" s="25"/>
      <c r="O13" s="25"/>
      <c r="P13" s="39"/>
      <c r="Q13" s="25"/>
      <c r="R13" s="26"/>
      <c r="S13" s="26"/>
      <c r="T13" s="26"/>
      <c r="U13" s="26"/>
      <c r="V13" s="26"/>
      <c r="W13" s="27"/>
      <c r="X13" s="27"/>
      <c r="Y13" s="27"/>
      <c r="Z13" s="28"/>
      <c r="AA13" s="26"/>
      <c r="AB13" s="29"/>
    </row>
    <row r="14" spans="1:28" ht="27" customHeight="1" outlineLevel="1" x14ac:dyDescent="0.2">
      <c r="A14" s="22"/>
      <c r="B14" s="43">
        <v>4</v>
      </c>
      <c r="C14" s="41" t="s">
        <v>50</v>
      </c>
      <c r="D14" s="40" t="s">
        <v>36</v>
      </c>
      <c r="E14" s="42">
        <v>45915</v>
      </c>
      <c r="F14" s="42">
        <f t="shared" si="3"/>
        <v>45919</v>
      </c>
      <c r="G14" s="42">
        <v>45919</v>
      </c>
      <c r="H14" s="55"/>
      <c r="I14" s="32">
        <f t="shared" si="1"/>
        <v>0</v>
      </c>
      <c r="J14" s="32">
        <f t="shared" si="2"/>
        <v>5</v>
      </c>
      <c r="K14" s="23">
        <v>0.1</v>
      </c>
      <c r="L14" s="24"/>
      <c r="M14" s="25"/>
      <c r="N14" s="25"/>
      <c r="O14" s="25"/>
      <c r="P14" s="39"/>
      <c r="Q14" s="25"/>
      <c r="R14" s="26"/>
      <c r="S14" s="26"/>
      <c r="T14" s="26"/>
      <c r="U14" s="26"/>
      <c r="V14" s="26"/>
      <c r="W14" s="27"/>
      <c r="X14" s="27"/>
      <c r="Y14" s="27"/>
      <c r="Z14" s="28"/>
      <c r="AA14" s="26"/>
      <c r="AB14" s="29"/>
    </row>
    <row r="15" spans="1:28" ht="25.5" customHeight="1" outlineLevel="1" x14ac:dyDescent="0.2">
      <c r="A15" s="22"/>
      <c r="B15" s="40">
        <v>5</v>
      </c>
      <c r="C15" s="41" t="s">
        <v>40</v>
      </c>
      <c r="D15" s="40" t="s">
        <v>36</v>
      </c>
      <c r="E15" s="42">
        <v>45915</v>
      </c>
      <c r="F15" s="42">
        <f t="shared" ref="F15:F22" si="4">G15</f>
        <v>45919</v>
      </c>
      <c r="G15" s="42">
        <v>45919</v>
      </c>
      <c r="H15" s="53" t="s">
        <v>61</v>
      </c>
      <c r="I15" s="32">
        <f t="shared" ref="I15:I25" si="5">G15-F15</f>
        <v>0</v>
      </c>
      <c r="J15" s="32">
        <f t="shared" ref="J15:J25" si="6">DAYS360(E15,F15)+1</f>
        <v>5</v>
      </c>
      <c r="K15" s="23">
        <v>0.1</v>
      </c>
      <c r="L15" s="24"/>
      <c r="M15" s="25"/>
      <c r="N15" s="25"/>
      <c r="O15" s="25"/>
      <c r="P15" s="39"/>
      <c r="Q15" s="25"/>
      <c r="R15" s="26"/>
      <c r="S15" s="26"/>
      <c r="T15" s="26"/>
      <c r="U15" s="26"/>
      <c r="V15" s="26"/>
      <c r="W15" s="27"/>
      <c r="X15" s="27"/>
      <c r="Y15" s="27"/>
      <c r="Z15" s="28"/>
      <c r="AA15" s="26"/>
      <c r="AB15" s="29"/>
    </row>
    <row r="16" spans="1:28" ht="38.25" customHeight="1" outlineLevel="1" x14ac:dyDescent="0.2">
      <c r="A16" s="30"/>
      <c r="B16" s="43">
        <v>6</v>
      </c>
      <c r="C16" s="41" t="s">
        <v>41</v>
      </c>
      <c r="D16" s="40" t="s">
        <v>36</v>
      </c>
      <c r="E16" s="42">
        <v>45915</v>
      </c>
      <c r="F16" s="42">
        <f t="shared" si="4"/>
        <v>45919</v>
      </c>
      <c r="G16" s="42">
        <v>45919</v>
      </c>
      <c r="H16" s="55"/>
      <c r="I16" s="32">
        <f t="shared" si="5"/>
        <v>0</v>
      </c>
      <c r="J16" s="32">
        <f t="shared" si="6"/>
        <v>5</v>
      </c>
      <c r="K16" s="23">
        <v>0.1</v>
      </c>
      <c r="L16" s="24"/>
      <c r="M16" s="25"/>
      <c r="N16" s="25"/>
      <c r="O16" s="25"/>
      <c r="P16" s="39"/>
      <c r="Q16" s="25"/>
      <c r="R16" s="26"/>
      <c r="S16" s="26"/>
      <c r="T16" s="26"/>
      <c r="U16" s="26"/>
      <c r="V16" s="26"/>
      <c r="W16" s="27"/>
      <c r="X16" s="27"/>
      <c r="Y16" s="27"/>
      <c r="Z16" s="28"/>
      <c r="AA16" s="26"/>
      <c r="AB16" s="29"/>
    </row>
    <row r="17" spans="1:28" s="36" customFormat="1" ht="61.5" customHeight="1" outlineLevel="1" x14ac:dyDescent="0.2">
      <c r="A17" s="30"/>
      <c r="B17" s="40">
        <v>7</v>
      </c>
      <c r="C17" s="41" t="s">
        <v>51</v>
      </c>
      <c r="D17" s="40" t="s">
        <v>36</v>
      </c>
      <c r="E17" s="42">
        <v>45919</v>
      </c>
      <c r="F17" s="42">
        <f t="shared" si="4"/>
        <v>45923</v>
      </c>
      <c r="G17" s="42">
        <v>45923</v>
      </c>
      <c r="H17" s="32" t="s">
        <v>63</v>
      </c>
      <c r="I17" s="32">
        <f t="shared" si="5"/>
        <v>0</v>
      </c>
      <c r="J17" s="32">
        <f t="shared" si="6"/>
        <v>5</v>
      </c>
      <c r="K17" s="23">
        <v>0.1</v>
      </c>
      <c r="L17" s="24"/>
      <c r="M17" s="25"/>
      <c r="N17" s="25"/>
      <c r="O17" s="25"/>
      <c r="P17" s="39"/>
      <c r="Q17" s="39"/>
      <c r="R17" s="26"/>
      <c r="S17" s="26"/>
      <c r="T17" s="26"/>
      <c r="U17" s="26"/>
      <c r="V17" s="26"/>
      <c r="W17" s="27"/>
      <c r="X17" s="27"/>
      <c r="Y17" s="27"/>
      <c r="Z17" s="28"/>
      <c r="AA17" s="26"/>
      <c r="AB17" s="29"/>
    </row>
    <row r="18" spans="1:28" ht="43.5" customHeight="1" outlineLevel="1" x14ac:dyDescent="0.2">
      <c r="A18" s="22"/>
      <c r="B18" s="43">
        <v>8</v>
      </c>
      <c r="C18" s="41" t="s">
        <v>42</v>
      </c>
      <c r="D18" s="40" t="s">
        <v>36</v>
      </c>
      <c r="E18" s="42">
        <v>45919</v>
      </c>
      <c r="F18" s="42">
        <f t="shared" si="4"/>
        <v>45923</v>
      </c>
      <c r="G18" s="42">
        <v>45923</v>
      </c>
      <c r="H18" s="32" t="s">
        <v>62</v>
      </c>
      <c r="I18" s="32">
        <f t="shared" si="5"/>
        <v>0</v>
      </c>
      <c r="J18" s="32">
        <f t="shared" si="6"/>
        <v>5</v>
      </c>
      <c r="K18" s="23">
        <v>0</v>
      </c>
      <c r="L18" s="24"/>
      <c r="M18" s="25"/>
      <c r="N18" s="25"/>
      <c r="O18" s="25"/>
      <c r="P18" s="39"/>
      <c r="Q18" s="39"/>
      <c r="R18" s="26"/>
      <c r="S18" s="26"/>
      <c r="T18" s="26"/>
      <c r="U18" s="26"/>
      <c r="V18" s="26"/>
      <c r="W18" s="27"/>
      <c r="X18" s="27"/>
      <c r="Y18" s="27"/>
      <c r="Z18" s="28"/>
      <c r="AA18" s="26"/>
      <c r="AB18" s="29"/>
    </row>
    <row r="19" spans="1:28" ht="42" customHeight="1" outlineLevel="1" x14ac:dyDescent="0.2">
      <c r="A19" s="30"/>
      <c r="B19" s="45">
        <v>9</v>
      </c>
      <c r="C19" s="44" t="s">
        <v>52</v>
      </c>
      <c r="D19" s="45" t="s">
        <v>36</v>
      </c>
      <c r="E19" s="46">
        <f>G17</f>
        <v>45923</v>
      </c>
      <c r="F19" s="46">
        <f t="shared" si="4"/>
        <v>45930</v>
      </c>
      <c r="G19" s="46">
        <f>E19+7</f>
        <v>45930</v>
      </c>
      <c r="H19" s="32" t="s">
        <v>64</v>
      </c>
      <c r="I19" s="32">
        <f t="shared" si="5"/>
        <v>0</v>
      </c>
      <c r="J19" s="32">
        <f t="shared" si="6"/>
        <v>8</v>
      </c>
      <c r="K19" s="23">
        <v>0</v>
      </c>
      <c r="L19" s="24"/>
      <c r="M19" s="25"/>
      <c r="N19" s="25"/>
      <c r="O19" s="25"/>
      <c r="P19" s="25"/>
      <c r="Q19" s="39"/>
      <c r="R19" s="50"/>
      <c r="S19" s="26"/>
      <c r="T19" s="26"/>
      <c r="U19" s="26"/>
      <c r="V19" s="26"/>
      <c r="W19" s="27"/>
      <c r="X19" s="27"/>
      <c r="Y19" s="27"/>
      <c r="Z19" s="28"/>
      <c r="AA19" s="26"/>
      <c r="AB19" s="29"/>
    </row>
    <row r="20" spans="1:28" ht="48.75" customHeight="1" outlineLevel="1" x14ac:dyDescent="0.2">
      <c r="A20" s="22"/>
      <c r="B20" s="45">
        <v>10</v>
      </c>
      <c r="C20" s="44" t="s">
        <v>55</v>
      </c>
      <c r="D20" s="45" t="s">
        <v>36</v>
      </c>
      <c r="E20" s="46">
        <v>45921</v>
      </c>
      <c r="F20" s="46">
        <f t="shared" si="4"/>
        <v>45928</v>
      </c>
      <c r="G20" s="46">
        <f>E20+7</f>
        <v>45928</v>
      </c>
      <c r="H20" s="32" t="s">
        <v>66</v>
      </c>
      <c r="I20" s="32">
        <f t="shared" si="5"/>
        <v>0</v>
      </c>
      <c r="J20" s="32">
        <f t="shared" si="6"/>
        <v>8</v>
      </c>
      <c r="K20" s="23">
        <v>0</v>
      </c>
      <c r="L20" s="24"/>
      <c r="M20" s="25"/>
      <c r="N20" s="25"/>
      <c r="O20" s="25"/>
      <c r="P20" s="25"/>
      <c r="Q20" s="39"/>
      <c r="R20" s="50"/>
      <c r="S20" s="26"/>
      <c r="T20" s="26"/>
      <c r="U20" s="26"/>
      <c r="V20" s="26"/>
      <c r="W20" s="27"/>
      <c r="X20" s="27"/>
      <c r="Y20" s="27"/>
      <c r="Z20" s="28"/>
      <c r="AA20" s="26"/>
      <c r="AB20" s="29"/>
    </row>
    <row r="21" spans="1:28" ht="27.75" customHeight="1" outlineLevel="1" x14ac:dyDescent="0.2">
      <c r="A21" s="30"/>
      <c r="B21" s="45">
        <v>11</v>
      </c>
      <c r="C21" s="44" t="s">
        <v>43</v>
      </c>
      <c r="D21" s="45" t="s">
        <v>36</v>
      </c>
      <c r="E21" s="46">
        <v>45923</v>
      </c>
      <c r="F21" s="46">
        <f t="shared" si="4"/>
        <v>45943</v>
      </c>
      <c r="G21" s="46">
        <v>45943</v>
      </c>
      <c r="H21" s="53" t="s">
        <v>65</v>
      </c>
      <c r="I21" s="32">
        <f t="shared" si="5"/>
        <v>0</v>
      </c>
      <c r="J21" s="32">
        <f t="shared" si="6"/>
        <v>21</v>
      </c>
      <c r="K21" s="23">
        <v>0</v>
      </c>
      <c r="L21" s="24"/>
      <c r="M21" s="25"/>
      <c r="N21" s="25"/>
      <c r="O21" s="25"/>
      <c r="P21" s="25"/>
      <c r="Q21" s="39"/>
      <c r="R21" s="50"/>
      <c r="S21" s="50"/>
      <c r="T21" s="50"/>
      <c r="U21" s="26"/>
      <c r="V21" s="26"/>
      <c r="W21" s="27"/>
      <c r="X21" s="27"/>
      <c r="Y21" s="27"/>
      <c r="Z21" s="28"/>
      <c r="AA21" s="26"/>
      <c r="AB21" s="29"/>
    </row>
    <row r="22" spans="1:28" ht="26.25" customHeight="1" outlineLevel="1" x14ac:dyDescent="0.2">
      <c r="A22" s="22"/>
      <c r="B22" s="45">
        <v>12</v>
      </c>
      <c r="C22" s="44" t="s">
        <v>44</v>
      </c>
      <c r="D22" s="45" t="s">
        <v>36</v>
      </c>
      <c r="E22" s="46">
        <v>45925</v>
      </c>
      <c r="F22" s="46">
        <f t="shared" si="4"/>
        <v>45943</v>
      </c>
      <c r="G22" s="46">
        <v>45943</v>
      </c>
      <c r="H22" s="55"/>
      <c r="I22" s="32">
        <f t="shared" si="5"/>
        <v>0</v>
      </c>
      <c r="J22" s="32">
        <f t="shared" si="6"/>
        <v>19</v>
      </c>
      <c r="K22" s="23">
        <v>0</v>
      </c>
      <c r="L22" s="24"/>
      <c r="M22" s="25"/>
      <c r="N22" s="25"/>
      <c r="O22" s="25"/>
      <c r="P22" s="25"/>
      <c r="Q22" s="39"/>
      <c r="R22" s="50"/>
      <c r="S22" s="50"/>
      <c r="T22" s="50"/>
      <c r="U22" s="26"/>
      <c r="V22" s="26"/>
      <c r="W22" s="27"/>
      <c r="X22" s="27"/>
      <c r="Y22" s="27"/>
      <c r="Z22" s="28"/>
      <c r="AA22" s="26"/>
      <c r="AB22" s="29"/>
    </row>
    <row r="23" spans="1:28" ht="47.25" customHeight="1" outlineLevel="1" x14ac:dyDescent="0.2">
      <c r="A23" s="30"/>
      <c r="B23" s="45">
        <v>13</v>
      </c>
      <c r="C23" s="44" t="s">
        <v>45</v>
      </c>
      <c r="D23" s="45" t="s">
        <v>36</v>
      </c>
      <c r="E23" s="46">
        <v>45930</v>
      </c>
      <c r="F23" s="46">
        <f>G23</f>
        <v>45931</v>
      </c>
      <c r="G23" s="46">
        <v>45931</v>
      </c>
      <c r="H23" s="32" t="s">
        <v>67</v>
      </c>
      <c r="I23" s="32">
        <f t="shared" si="5"/>
        <v>0</v>
      </c>
      <c r="J23" s="32">
        <f t="shared" si="6"/>
        <v>2</v>
      </c>
      <c r="K23" s="23">
        <v>0</v>
      </c>
      <c r="L23" s="24"/>
      <c r="M23" s="25"/>
      <c r="N23" s="25"/>
      <c r="O23" s="25"/>
      <c r="P23" s="25"/>
      <c r="Q23" s="39"/>
      <c r="R23" s="50"/>
      <c r="S23" s="26"/>
      <c r="T23" s="26"/>
      <c r="U23" s="26"/>
      <c r="V23" s="26"/>
      <c r="W23" s="27"/>
      <c r="X23" s="27"/>
      <c r="Y23" s="27"/>
      <c r="Z23" s="28"/>
      <c r="AA23" s="26"/>
      <c r="AB23" s="29"/>
    </row>
    <row r="24" spans="1:28" ht="26.25" customHeight="1" outlineLevel="1" x14ac:dyDescent="0.2">
      <c r="A24" s="22"/>
      <c r="B24" s="45">
        <v>14</v>
      </c>
      <c r="C24" s="44" t="s">
        <v>46</v>
      </c>
      <c r="D24" s="45" t="s">
        <v>36</v>
      </c>
      <c r="E24" s="46">
        <v>45931</v>
      </c>
      <c r="F24" s="46">
        <f t="shared" ref="F24:F30" si="7">G24</f>
        <v>45943</v>
      </c>
      <c r="G24" s="46">
        <v>45943</v>
      </c>
      <c r="H24" s="32" t="s">
        <v>68</v>
      </c>
      <c r="I24" s="32">
        <f t="shared" si="5"/>
        <v>0</v>
      </c>
      <c r="J24" s="32">
        <f t="shared" si="6"/>
        <v>13</v>
      </c>
      <c r="K24" s="23">
        <v>0</v>
      </c>
      <c r="L24" s="24"/>
      <c r="M24" s="25"/>
      <c r="N24" s="25"/>
      <c r="O24" s="25"/>
      <c r="P24" s="25"/>
      <c r="Q24" s="25"/>
      <c r="R24" s="50"/>
      <c r="S24" s="50"/>
      <c r="T24" s="50"/>
      <c r="U24" s="26"/>
      <c r="V24" s="26"/>
      <c r="W24" s="27"/>
      <c r="X24" s="27"/>
      <c r="Y24" s="27"/>
      <c r="Z24" s="28"/>
      <c r="AA24" s="26"/>
      <c r="AB24" s="29"/>
    </row>
    <row r="25" spans="1:28" ht="26.25" customHeight="1" outlineLevel="1" x14ac:dyDescent="0.2">
      <c r="A25" s="30"/>
      <c r="B25" s="48">
        <v>15</v>
      </c>
      <c r="C25" s="47" t="s">
        <v>47</v>
      </c>
      <c r="D25" s="48" t="s">
        <v>36</v>
      </c>
      <c r="E25" s="49">
        <v>45943</v>
      </c>
      <c r="F25" s="49">
        <f t="shared" si="7"/>
        <v>45961</v>
      </c>
      <c r="G25" s="49">
        <v>45961</v>
      </c>
      <c r="H25" s="53" t="s">
        <v>69</v>
      </c>
      <c r="I25" s="32">
        <f t="shared" si="5"/>
        <v>0</v>
      </c>
      <c r="J25" s="32">
        <f t="shared" si="6"/>
        <v>19</v>
      </c>
      <c r="K25" s="23">
        <v>0</v>
      </c>
      <c r="L25" s="24"/>
      <c r="M25" s="25"/>
      <c r="N25" s="25"/>
      <c r="O25" s="25"/>
      <c r="P25" s="25"/>
      <c r="Q25" s="25"/>
      <c r="R25" s="26"/>
      <c r="S25" s="26"/>
      <c r="T25" s="50"/>
      <c r="U25" s="50"/>
      <c r="V25" s="50"/>
      <c r="W25" s="50"/>
      <c r="X25" s="27"/>
      <c r="Y25" s="27"/>
      <c r="Z25" s="28"/>
      <c r="AA25" s="26"/>
      <c r="AB25" s="29"/>
    </row>
    <row r="26" spans="1:28" ht="47.25" customHeight="1" outlineLevel="1" x14ac:dyDescent="0.2">
      <c r="A26" s="22"/>
      <c r="B26" s="48">
        <v>16</v>
      </c>
      <c r="C26" s="47" t="s">
        <v>56</v>
      </c>
      <c r="D26" s="48" t="s">
        <v>36</v>
      </c>
      <c r="E26" s="49">
        <v>45962</v>
      </c>
      <c r="F26" s="49">
        <f t="shared" si="7"/>
        <v>45968</v>
      </c>
      <c r="G26" s="49">
        <v>45968</v>
      </c>
      <c r="H26" s="54"/>
      <c r="I26" s="32">
        <f t="shared" si="1"/>
        <v>0</v>
      </c>
      <c r="J26" s="32">
        <f t="shared" si="2"/>
        <v>7</v>
      </c>
      <c r="K26" s="23">
        <v>0</v>
      </c>
      <c r="L26" s="24"/>
      <c r="M26" s="25"/>
      <c r="N26" s="25"/>
      <c r="O26" s="25"/>
      <c r="P26" s="25"/>
      <c r="Q26" s="25"/>
      <c r="R26" s="26"/>
      <c r="S26" s="26"/>
      <c r="T26" s="26"/>
      <c r="U26" s="26"/>
      <c r="V26" s="50"/>
      <c r="W26" s="51"/>
      <c r="X26" s="27"/>
      <c r="Y26" s="27"/>
      <c r="Z26" s="28"/>
      <c r="AA26" s="26"/>
      <c r="AB26" s="29"/>
    </row>
    <row r="27" spans="1:28" ht="30.75" customHeight="1" outlineLevel="1" x14ac:dyDescent="0.2">
      <c r="A27" s="30"/>
      <c r="B27" s="48">
        <v>17</v>
      </c>
      <c r="C27" s="47" t="s">
        <v>57</v>
      </c>
      <c r="D27" s="48" t="s">
        <v>36</v>
      </c>
      <c r="E27" s="49">
        <f>G26</f>
        <v>45968</v>
      </c>
      <c r="F27" s="49">
        <f t="shared" si="7"/>
        <v>45975</v>
      </c>
      <c r="G27" s="49">
        <v>45975</v>
      </c>
      <c r="H27" s="55"/>
      <c r="I27" s="32">
        <f t="shared" si="1"/>
        <v>0</v>
      </c>
      <c r="J27" s="32">
        <f t="shared" si="2"/>
        <v>8</v>
      </c>
      <c r="K27" s="23">
        <v>0</v>
      </c>
      <c r="L27" s="24"/>
      <c r="M27" s="25"/>
      <c r="N27" s="25"/>
      <c r="O27" s="25"/>
      <c r="P27" s="25"/>
      <c r="Q27" s="25"/>
      <c r="R27" s="26"/>
      <c r="S27" s="26"/>
      <c r="T27" s="26"/>
      <c r="U27" s="26"/>
      <c r="V27" s="26"/>
      <c r="W27" s="51"/>
      <c r="X27" s="51"/>
      <c r="Y27" s="51"/>
      <c r="Z27" s="52"/>
      <c r="AA27" s="26"/>
      <c r="AB27" s="29"/>
    </row>
    <row r="28" spans="1:28" ht="30" customHeight="1" outlineLevel="1" x14ac:dyDescent="0.2">
      <c r="A28" s="22"/>
      <c r="B28" s="74">
        <v>18</v>
      </c>
      <c r="C28" s="33" t="s">
        <v>58</v>
      </c>
      <c r="D28" s="32" t="s">
        <v>36</v>
      </c>
      <c r="E28" s="34">
        <f>E26</f>
        <v>45962</v>
      </c>
      <c r="F28" s="34">
        <f t="shared" si="7"/>
        <v>45991</v>
      </c>
      <c r="G28" s="34">
        <v>45991</v>
      </c>
      <c r="H28" s="53" t="s">
        <v>70</v>
      </c>
      <c r="I28" s="32">
        <f t="shared" si="1"/>
        <v>0</v>
      </c>
      <c r="J28" s="32">
        <f t="shared" si="2"/>
        <v>30</v>
      </c>
      <c r="K28" s="23">
        <v>0</v>
      </c>
      <c r="L28" s="24"/>
      <c r="M28" s="25"/>
      <c r="N28" s="25"/>
      <c r="O28" s="25"/>
      <c r="P28" s="25"/>
      <c r="Q28" s="25"/>
      <c r="R28" s="26"/>
      <c r="S28" s="26"/>
      <c r="T28" s="26"/>
      <c r="U28" s="26"/>
      <c r="V28" s="26"/>
      <c r="W28" s="51"/>
      <c r="X28" s="51"/>
      <c r="Y28" s="51"/>
      <c r="Z28" s="52"/>
      <c r="AA28" s="26"/>
      <c r="AB28" s="29"/>
    </row>
    <row r="29" spans="1:28" ht="42.75" customHeight="1" outlineLevel="1" x14ac:dyDescent="0.2">
      <c r="A29" s="22"/>
      <c r="B29" s="75">
        <v>19</v>
      </c>
      <c r="C29" s="33" t="s">
        <v>53</v>
      </c>
      <c r="D29" s="32" t="s">
        <v>36</v>
      </c>
      <c r="E29" s="34">
        <f>G27</f>
        <v>45975</v>
      </c>
      <c r="F29" s="34">
        <f t="shared" si="7"/>
        <v>45991</v>
      </c>
      <c r="G29" s="34">
        <v>45991</v>
      </c>
      <c r="H29" s="54"/>
      <c r="I29" s="32">
        <f t="shared" si="1"/>
        <v>0</v>
      </c>
      <c r="J29" s="32">
        <f t="shared" si="2"/>
        <v>17</v>
      </c>
      <c r="K29" s="23">
        <v>0</v>
      </c>
      <c r="L29" s="24"/>
      <c r="M29" s="25"/>
      <c r="N29" s="25"/>
      <c r="O29" s="25"/>
      <c r="P29" s="25"/>
      <c r="Q29" s="25"/>
      <c r="R29" s="26"/>
      <c r="S29" s="26"/>
      <c r="T29" s="26"/>
      <c r="U29" s="26"/>
      <c r="V29" s="26"/>
      <c r="W29" s="51"/>
      <c r="X29" s="51"/>
      <c r="Y29" s="51"/>
      <c r="Z29" s="52"/>
      <c r="AA29" s="26"/>
      <c r="AB29" s="29"/>
    </row>
    <row r="30" spans="1:28" ht="42.75" customHeight="1" outlineLevel="1" x14ac:dyDescent="0.2">
      <c r="A30" s="30"/>
      <c r="B30" s="74">
        <v>20</v>
      </c>
      <c r="C30" s="33" t="s">
        <v>54</v>
      </c>
      <c r="D30" s="32" t="s">
        <v>36</v>
      </c>
      <c r="E30" s="34">
        <v>45975</v>
      </c>
      <c r="F30" s="34">
        <f t="shared" si="7"/>
        <v>45991</v>
      </c>
      <c r="G30" s="34">
        <v>45991</v>
      </c>
      <c r="H30" s="55"/>
      <c r="I30" s="32">
        <f t="shared" si="1"/>
        <v>0</v>
      </c>
      <c r="J30" s="32">
        <f t="shared" si="2"/>
        <v>17</v>
      </c>
      <c r="K30" s="23">
        <v>0</v>
      </c>
      <c r="L30" s="24"/>
      <c r="M30" s="25"/>
      <c r="N30" s="25"/>
      <c r="O30" s="25"/>
      <c r="P30" s="25"/>
      <c r="Q30" s="25"/>
      <c r="R30" s="26"/>
      <c r="S30" s="26"/>
      <c r="T30" s="26"/>
      <c r="U30" s="26"/>
      <c r="V30" s="26"/>
      <c r="W30" s="51"/>
      <c r="X30" s="51"/>
      <c r="Y30" s="51"/>
      <c r="Z30" s="52"/>
      <c r="AA30" s="26"/>
      <c r="AB30" s="29"/>
    </row>
    <row r="31" spans="1:28" ht="17.25" customHeight="1" outlineLevel="1" x14ac:dyDescent="0.2">
      <c r="A31" s="30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29"/>
    </row>
    <row r="32" spans="1:28" ht="17.25" customHeight="1" outlineLevel="1" x14ac:dyDescent="0.2">
      <c r="A32" s="30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29"/>
    </row>
    <row r="33" spans="1:28" ht="17.25" customHeight="1" outlineLevel="1" x14ac:dyDescent="0.2">
      <c r="A33" s="30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29"/>
    </row>
    <row r="34" spans="1:28" ht="17.25" customHeight="1" outlineLevel="1" x14ac:dyDescent="0.2">
      <c r="A34" s="30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29"/>
    </row>
    <row r="35" spans="1:28" ht="17.25" customHeight="1" outlineLevel="1" x14ac:dyDescent="0.2">
      <c r="A35" s="22"/>
      <c r="B35" s="40" t="s">
        <v>71</v>
      </c>
      <c r="C35" s="45" t="s">
        <v>72</v>
      </c>
      <c r="D35" s="48" t="s">
        <v>73</v>
      </c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29"/>
    </row>
    <row r="36" spans="1:28" ht="17.25" customHeight="1" outlineLevel="1" x14ac:dyDescent="0.2">
      <c r="A36" s="22"/>
      <c r="B36" s="36"/>
      <c r="C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29"/>
    </row>
    <row r="37" spans="1:28" ht="17.25" customHeight="1" outlineLevel="1" x14ac:dyDescent="0.2">
      <c r="A37" s="22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29"/>
    </row>
    <row r="38" spans="1:28" ht="15.75" customHeight="1" x14ac:dyDescent="0.2"/>
    <row r="39" spans="1:28" ht="15.75" customHeight="1" x14ac:dyDescent="0.2"/>
    <row r="40" spans="1:28" ht="15.75" customHeight="1" x14ac:dyDescent="0.2"/>
    <row r="41" spans="1:28" ht="15.75" customHeight="1" x14ac:dyDescent="0.2"/>
    <row r="42" spans="1:28" ht="15.75" customHeight="1" x14ac:dyDescent="0.2"/>
    <row r="43" spans="1:28" ht="15.75" customHeight="1" x14ac:dyDescent="0.2"/>
    <row r="44" spans="1:28" ht="15.75" customHeight="1" x14ac:dyDescent="0.2"/>
    <row r="45" spans="1:28" ht="15.75" customHeight="1" x14ac:dyDescent="0.2"/>
    <row r="46" spans="1:28" ht="15.75" customHeight="1" x14ac:dyDescent="0.2"/>
    <row r="47" spans="1:28" ht="15.75" customHeight="1" x14ac:dyDescent="0.2"/>
    <row r="48" spans="1:2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</sheetData>
  <mergeCells count="31">
    <mergeCell ref="B4:C4"/>
    <mergeCell ref="L4:X4"/>
    <mergeCell ref="D6:O6"/>
    <mergeCell ref="D4:H4"/>
    <mergeCell ref="J4:K4"/>
    <mergeCell ref="B5:C5"/>
    <mergeCell ref="D5:H5"/>
    <mergeCell ref="J5:K5"/>
    <mergeCell ref="B2:K2"/>
    <mergeCell ref="L2:AA2"/>
    <mergeCell ref="B3:C3"/>
    <mergeCell ref="D3:K3"/>
    <mergeCell ref="L3:T3"/>
    <mergeCell ref="U3:AA3"/>
    <mergeCell ref="B8:B10"/>
    <mergeCell ref="C8:C10"/>
    <mergeCell ref="D8:D10"/>
    <mergeCell ref="E8:E10"/>
    <mergeCell ref="L5:W5"/>
    <mergeCell ref="B6:C6"/>
    <mergeCell ref="F8:F10"/>
    <mergeCell ref="G8:G10"/>
    <mergeCell ref="H8:H10"/>
    <mergeCell ref="I8:I10"/>
    <mergeCell ref="J8:J10"/>
    <mergeCell ref="H28:H30"/>
    <mergeCell ref="K8:K10"/>
    <mergeCell ref="H13:H14"/>
    <mergeCell ref="H15:H16"/>
    <mergeCell ref="H21:H22"/>
    <mergeCell ref="H25:H27"/>
  </mergeCells>
  <phoneticPr fontId="23" type="noConversion"/>
  <conditionalFormatting sqref="L10:AA10">
    <cfRule type="timePeriod" dxfId="0" priority="3" timePeriod="today">
      <formula>FLOOR(L10,1)=TODAY()</formula>
    </cfRule>
  </conditionalFormatting>
  <conditionalFormatting sqref="K11:K30">
    <cfRule type="colorScale" priority="4">
      <colorScale>
        <cfvo type="min"/>
        <cfvo type="max"/>
        <color rgb="FFFFFFFF"/>
        <color rgb="FF57BB8A"/>
      </colorScale>
    </cfRule>
  </conditionalFormatting>
  <conditionalFormatting sqref="K11:K30">
    <cfRule type="colorScale" priority="5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1000"/>
  <sheetViews>
    <sheetView workbookViewId="0"/>
  </sheetViews>
  <sheetFormatPr baseColWidth="10" defaultColWidth="14.42578125" defaultRowHeight="15" customHeight="1" x14ac:dyDescent="0.2"/>
  <cols>
    <col min="1" max="6" width="14.42578125" customWidth="1"/>
  </cols>
  <sheetData>
    <row r="1" spans="1:1" ht="15.75" customHeight="1" x14ac:dyDescent="0.2"/>
    <row r="2" spans="1:1" ht="15.75" customHeight="1" x14ac:dyDescent="0.2">
      <c r="A2" s="31" t="s">
        <v>30</v>
      </c>
    </row>
    <row r="3" spans="1:1" ht="15.75" customHeight="1" x14ac:dyDescent="0.2">
      <c r="A3" s="31" t="s">
        <v>31</v>
      </c>
    </row>
    <row r="4" spans="1:1" ht="15.75" customHeight="1" x14ac:dyDescent="0.2">
      <c r="A4" s="31" t="s">
        <v>32</v>
      </c>
    </row>
    <row r="5" spans="1:1" ht="15.75" customHeight="1" x14ac:dyDescent="0.2"/>
    <row r="6" spans="1:1" ht="15.75" customHeight="1" x14ac:dyDescent="0.2"/>
    <row r="7" spans="1:1" ht="15.75" customHeight="1" x14ac:dyDescent="0.2"/>
    <row r="8" spans="1:1" ht="15.75" customHeight="1" x14ac:dyDescent="0.2"/>
    <row r="9" spans="1:1" ht="15.75" customHeight="1" x14ac:dyDescent="0.2"/>
    <row r="10" spans="1:1" ht="15.75" customHeight="1" x14ac:dyDescent="0.2"/>
    <row r="11" spans="1:1" ht="15.75" customHeight="1" x14ac:dyDescent="0.2"/>
    <row r="12" spans="1:1" ht="15.75" customHeight="1" x14ac:dyDescent="0.2"/>
    <row r="13" spans="1:1" ht="15.75" customHeight="1" x14ac:dyDescent="0.2"/>
    <row r="14" spans="1:1" ht="15.75" customHeight="1" x14ac:dyDescent="0.2"/>
    <row r="15" spans="1:1" ht="15.75" customHeight="1" x14ac:dyDescent="0.2"/>
    <row r="16" spans="1:1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Diagrama de Gantt</vt:lpstr>
      <vt:lpstr>Hoja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modified xsi:type="dcterms:W3CDTF">2025-09-16T17:54:29Z</dcterms:modified>
</cp:coreProperties>
</file>