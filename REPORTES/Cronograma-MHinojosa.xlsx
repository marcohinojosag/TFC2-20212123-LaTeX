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TESIS 2\TFC2_20212123_MHinojosa\TFC2-20212123-LaTeX\REPORTES\"/>
    </mc:Choice>
  </mc:AlternateContent>
  <xr:revisionPtr revIDLastSave="0" documentId="13_ncr:1_{12EC6E21-AA59-4D5F-92FF-18F556C4B79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iagrama de Gantt" sheetId="1" r:id="rId1"/>
    <sheet name="Hoja 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hme3SBhRCDUaRxE1ffpxEUT2X8YA=="/>
    </ext>
  </extLst>
</workbook>
</file>

<file path=xl/calcChain.xml><?xml version="1.0" encoding="utf-8"?>
<calcChain xmlns="http://schemas.openxmlformats.org/spreadsheetml/2006/main">
  <c r="I23" i="1" l="1"/>
  <c r="G21" i="1"/>
  <c r="J21" i="1" s="1"/>
  <c r="G26" i="1"/>
  <c r="G25" i="1"/>
  <c r="G24" i="1"/>
  <c r="G23" i="1"/>
  <c r="F23" i="1" s="1"/>
  <c r="J23" i="1" s="1"/>
  <c r="G22" i="1"/>
  <c r="G20" i="1"/>
  <c r="G19" i="1"/>
  <c r="F26" i="1"/>
  <c r="F24" i="1"/>
  <c r="I24" i="1" s="1"/>
  <c r="F22" i="1"/>
  <c r="I22" i="1" s="1"/>
  <c r="F20" i="1"/>
  <c r="F19" i="1"/>
  <c r="F17" i="1"/>
  <c r="G18" i="1"/>
  <c r="E18" i="1"/>
  <c r="G17" i="1"/>
  <c r="F18" i="1" s="1"/>
  <c r="G16" i="1"/>
  <c r="G15" i="1"/>
  <c r="J15" i="1" s="1"/>
  <c r="D6" i="1"/>
  <c r="J14" i="1"/>
  <c r="I14" i="1"/>
  <c r="F25" i="1"/>
  <c r="J25" i="1" s="1"/>
  <c r="F14" i="1"/>
  <c r="G13" i="1"/>
  <c r="F13" i="1" s="1"/>
  <c r="J13" i="1" s="1"/>
  <c r="G11" i="1"/>
  <c r="F11" i="1" s="1"/>
  <c r="I11" i="1" s="1"/>
  <c r="J22" i="1"/>
  <c r="F12" i="1"/>
  <c r="I12" i="1" s="1"/>
  <c r="M10" i="1"/>
  <c r="N10" i="1" s="1"/>
  <c r="F21" i="1" l="1"/>
  <c r="I21" i="1" s="1"/>
  <c r="I25" i="1"/>
  <c r="J24" i="1"/>
  <c r="I20" i="1"/>
  <c r="J20" i="1"/>
  <c r="I19" i="1"/>
  <c r="J19" i="1"/>
  <c r="I18" i="1"/>
  <c r="J18" i="1"/>
  <c r="I17" i="1"/>
  <c r="J17" i="1"/>
  <c r="J16" i="1"/>
  <c r="F15" i="1"/>
  <c r="I15" i="1" s="1"/>
  <c r="F16" i="1"/>
  <c r="I16" i="1" s="1"/>
  <c r="J11" i="1"/>
  <c r="I13" i="1"/>
  <c r="J12" i="1"/>
  <c r="J26" i="1" l="1"/>
  <c r="I26" i="1"/>
  <c r="P10" i="1"/>
  <c r="Q10" i="1" l="1"/>
  <c r="R10" i="1" l="1"/>
  <c r="S10" i="1" l="1"/>
  <c r="T10" i="1" l="1"/>
  <c r="U10" i="1" l="1"/>
  <c r="V10" i="1" l="1"/>
  <c r="W10" i="1" l="1"/>
  <c r="X10" i="1" l="1"/>
  <c r="Y10" i="1" l="1"/>
  <c r="Z10" i="1" l="1"/>
  <c r="AA10" i="1" l="1"/>
</calcChain>
</file>

<file path=xl/sharedStrings.xml><?xml version="1.0" encoding="utf-8"?>
<sst xmlns="http://schemas.openxmlformats.org/spreadsheetml/2006/main" count="85" uniqueCount="70">
  <si>
    <t xml:space="preserve">Formulario: Cronograma de los trabajos y aplicación de entregables                                                        </t>
  </si>
  <si>
    <t>TÍTULO DEL PROYECTO</t>
  </si>
  <si>
    <t>PUCP</t>
  </si>
  <si>
    <t>RESPONSABLE DEL PROYECTO</t>
  </si>
  <si>
    <t>Día de inicio</t>
  </si>
  <si>
    <t>SEMANA 1</t>
  </si>
  <si>
    <t>SEMANA 2</t>
  </si>
  <si>
    <t>SEMANA 3</t>
  </si>
  <si>
    <t>TÍTULO DE LA TAREA</t>
  </si>
  <si>
    <t>RESPONSABLE DE LA TAREA</t>
  </si>
  <si>
    <t>FECHA DE INICIO</t>
  </si>
  <si>
    <t>FECHA DE TÉRMINO</t>
  </si>
  <si>
    <t>FECHA DE FIN</t>
  </si>
  <si>
    <t>COMENTARIOS</t>
  </si>
  <si>
    <t>DIAS DE ATRASO</t>
  </si>
  <si>
    <t>DURACIÓN</t>
  </si>
  <si>
    <t>% COMPLETADO 
DE LA TAREA</t>
  </si>
  <si>
    <t>VALIDACION</t>
  </si>
  <si>
    <t>SI</t>
  </si>
  <si>
    <t>NO</t>
  </si>
  <si>
    <t>Sitema mecatrónico para la estimación semiautomatizada de parámetros de motores DC  hasta 12V</t>
  </si>
  <si>
    <t>Marco Antonio Hinojosa Gonzales</t>
  </si>
  <si>
    <t>Marco</t>
  </si>
  <si>
    <t>Desarrollo de la interfaz de usuario</t>
  </si>
  <si>
    <t>Fecha de fin</t>
  </si>
  <si>
    <t>CAD de chasis y componentes de fijación</t>
  </si>
  <si>
    <t>Validación con mediciones empíricas</t>
  </si>
  <si>
    <t>Semana 0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</si>
  <si>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</si>
  <si>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</si>
  <si>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</si>
  <si>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</si>
  <si>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</si>
  <si>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</si>
  <si>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</si>
  <si>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</si>
  <si>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</si>
  <si>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</si>
  <si>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</si>
  <si>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</si>
  <si>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Terminar los capítulos referentes al HW del sistema (Electrónica y Mecánica)</t>
  </si>
  <si>
    <t>Planos mecánicos</t>
  </si>
  <si>
    <t>Esquemas electrónicos</t>
  </si>
  <si>
    <t>Se terminarán de definir todos los componentes necesarios y cálculos faltantes del HW</t>
  </si>
  <si>
    <t>Aún falta validar mediante implementación si el diseño planteado es el correcto, eso se realizará apoyado de equipo como un osciloscopio y todo se recopilará en el capítulo adicional de implementación.</t>
  </si>
  <si>
    <t>Se realizarán los planos mecánicos de todas las piezas que se han validado</t>
  </si>
  <si>
    <t>Realizar la toma de datos con el primer prototipo</t>
  </si>
  <si>
    <t>Documentar el capítulo de implementación</t>
  </si>
  <si>
    <t>NÚMERO DE TAREA</t>
  </si>
  <si>
    <t>Ya se ha mandado a fabricar y ensamblar PCB que servirán para probar los sensores que se utilizarán y el driver del motor. Se debe realizar la programación del uC y la configuración de el sensor y los módulos adicionales para que se realice una primera toma de datos de las variables del motor.</t>
  </si>
  <si>
    <t>Tarea que se realiza en conjunto con la Tarea número 5.</t>
  </si>
  <si>
    <t>Plantear los algoritmos de identificación</t>
  </si>
  <si>
    <t>Plantear costos de fabricación</t>
  </si>
  <si>
    <t xml:space="preserve">Integración del SW con el HW </t>
  </si>
  <si>
    <t>Terminar el capítulo de Implementación con el diseño final</t>
  </si>
  <si>
    <t>Finalizar el capítulo de SW con la interfaz de usuario y los algoritmos que se utilizarán</t>
  </si>
  <si>
    <t>Terminar de plantear los costos de fabricación del prototipo funcional</t>
  </si>
  <si>
    <t>Se comparará el rendimiento de la máquina con los métodos empíricos planteados en el estado del arte de la tesis</t>
  </si>
  <si>
    <t>Conclusiones y comentarios de mejora</t>
  </si>
  <si>
    <t>Se plantea el último capítulo de la tesis que enumera los resultados obtenidos por el prototipo planteado y se dan comentarios de mejoras a futuro de la tesis</t>
  </si>
  <si>
    <t>Adicionalmente con la documentación se deberá avanzar el CAD de la carcasa y los componentes finales de ella para el prototipado y validación.</t>
  </si>
  <si>
    <t>Documentación de la interfaz de usuario (Diagrama de flujo y código)</t>
  </si>
  <si>
    <t>Luego de validar el HW diseñado se procederá a codificar una interfaz de usuario que controlará el HW cuando se desee hacer alguna prueba</t>
  </si>
  <si>
    <t>Se documentará todo el capítulo de SW con laspestañas con los controles de la interfaz y para que sirven</t>
  </si>
  <si>
    <t>La parte de implementación de los algoritmos es la más importante luego de poder sensar correctamente la data del motor, se han encontrado papers y trabajos de tesis sobre este tema por lo que ya se tiene de antemano una idea de cómo implementarlo</t>
  </si>
  <si>
    <t>Luego de validar y culminar el diseño de HW, se procederá a realizar los costos de cada componente mecánico u electrónico. Si es que requiere de manufactura tambien será contado y además de contar el precio por horas de diseño que ha tomado realizar el prototipo validado</t>
  </si>
  <si>
    <t>Una vez culminado una primera interfaz de usuario se busca implementarlo completamente con el HW</t>
  </si>
  <si>
    <t>Correcciones finales de este dominio luego de iterar el diseño tomando en cuenta las pruebas que se hagan con el HW</t>
  </si>
  <si>
    <t>Costos considerando la parte de SW del sistema</t>
  </si>
  <si>
    <t>Una vez realizada la implementación de todos los dominios de la máquina (Electrónica, Mecánica y Software) se procederá a documentar las partes faltantes de cada uno de los capítulos si es que faltasen y a terminar el capítulo de implementación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</si>
</sst>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"/>
    <numFmt numFmtId="165" formatCode="dd/mm/yyyy"/>
    <numFmt numFmtId="166" formatCode="0\ %"/>
  </numFmts>
  <fonts count="24" x14ac:knownFonts="1">
    <font>
      <sz val="10"/>
      <color rgb="FF000000"/>
      <name val="Arial"/>
    </font>
    <font>
      <b/>
      <sz val="18"/>
      <color rgb="FF000000"/>
      <name val="Roboto"/>
    </font>
    <font>
      <b/>
      <sz val="12"/>
      <color rgb="FF0B5394"/>
      <name val="Roboto"/>
    </font>
    <font>
      <sz val="10"/>
      <name val="Arial"/>
    </font>
    <font>
      <b/>
      <sz val="12"/>
      <color rgb="FF000000"/>
      <name val="Roboto"/>
    </font>
    <font>
      <sz val="12"/>
      <color rgb="FF000000"/>
      <name val="Roboto"/>
    </font>
    <font>
      <b/>
      <sz val="10"/>
      <color rgb="FF666666"/>
      <name val="Roboto"/>
    </font>
    <font>
      <sz val="10"/>
      <color rgb="FF999999"/>
      <name val="Roboto"/>
    </font>
    <font>
      <b/>
      <sz val="9"/>
      <color rgb="FF000000"/>
      <name val="Roboto"/>
    </font>
    <font>
      <b/>
      <sz val="10"/>
      <color rgb="FF666666"/>
      <name val="Roboto"/>
    </font>
    <font>
      <sz val="10"/>
      <color rgb="FF999999"/>
      <name val="Roboto"/>
    </font>
    <font>
      <sz val="10"/>
      <color theme="1"/>
      <name val="Arial"/>
    </font>
    <font>
      <sz val="11"/>
      <color theme="1"/>
      <name val="Roboto"/>
    </font>
    <font>
      <sz val="10"/>
      <color rgb="FF434343"/>
      <name val="Roboto"/>
    </font>
    <font>
      <sz val="10"/>
      <color rgb="FF0000FF"/>
      <name val="Roboto"/>
    </font>
    <font>
      <sz val="10"/>
      <color theme="1"/>
      <name val="Calibri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sz val="10"/>
      <color rgb="FF000000"/>
      <name val="Roboto"/>
    </font>
    <font>
      <b/>
      <sz val="10"/>
      <color rgb="FF000000"/>
      <name val="Roboto"/>
    </font>
    <font>
      <b/>
      <sz val="10"/>
      <color rgb="FFFF0000"/>
      <name val="Roboto"/>
    </font>
    <font>
      <sz val="10"/>
      <color theme="1"/>
      <name val="Roboto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0B5394"/>
        <bgColor rgb="FF0B5394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rgb="FFEDECC4"/>
        <bgColor rgb="FFD9EAD3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0B5394"/>
      </top>
      <bottom/>
      <diagonal/>
    </border>
    <border>
      <left style="thin">
        <color rgb="FF0B5394"/>
      </left>
      <right/>
      <top style="thin">
        <color rgb="FFB7B7B7"/>
      </top>
      <bottom style="thin">
        <color rgb="FFB7B7B7"/>
      </bottom>
      <diagonal/>
    </border>
    <border>
      <left style="thin">
        <color rgb="FF0B5394"/>
      </left>
      <right style="thin">
        <color rgb="FFB7B7B7"/>
      </right>
      <top style="thin">
        <color rgb="FFB7B7B7"/>
      </top>
      <bottom style="thin">
        <color rgb="FF0B5394"/>
      </bottom>
      <diagonal/>
    </border>
    <border>
      <left/>
      <right style="thin">
        <color rgb="FF0C343D"/>
      </right>
      <top style="thin">
        <color rgb="FF0C343D"/>
      </top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C343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10" fillId="0" borderId="0" xfId="0" applyFont="1"/>
    <xf numFmtId="0" fontId="6" fillId="0" borderId="0" xfId="0" applyFont="1" applyAlignment="1">
      <alignment horizontal="left" vertical="center"/>
    </xf>
    <xf numFmtId="0" fontId="11" fillId="0" borderId="0" xfId="0" applyFont="1"/>
    <xf numFmtId="164" fontId="10" fillId="0" borderId="0" xfId="0" applyNumberFormat="1" applyFont="1" applyAlignment="1">
      <alignment horizontal="left"/>
    </xf>
    <xf numFmtId="0" fontId="1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166" fontId="13" fillId="0" borderId="6" xfId="0" applyNumberFormat="1" applyFont="1" applyBorder="1" applyAlignment="1">
      <alignment horizontal="center" vertical="center" wrapText="1"/>
    </xf>
    <xf numFmtId="9" fontId="20" fillId="2" borderId="7" xfId="0" applyNumberFormat="1" applyFont="1" applyFill="1" applyBorder="1" applyAlignment="1">
      <alignment horizontal="center" vertical="center"/>
    </xf>
    <xf numFmtId="9" fontId="20" fillId="2" borderId="8" xfId="0" applyNumberFormat="1" applyFont="1" applyFill="1" applyBorder="1" applyAlignment="1">
      <alignment horizontal="center" vertical="center"/>
    </xf>
    <xf numFmtId="9" fontId="20" fillId="0" borderId="8" xfId="0" applyNumberFormat="1" applyFont="1" applyBorder="1" applyAlignment="1">
      <alignment horizontal="center" vertical="center"/>
    </xf>
    <xf numFmtId="9" fontId="21" fillId="0" borderId="8" xfId="0" applyNumberFormat="1" applyFont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49" fontId="19" fillId="2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19" fillId="6" borderId="9" xfId="0" applyFont="1" applyFill="1" applyBorder="1" applyAlignment="1">
      <alignment horizontal="center" vertical="center" wrapText="1"/>
    </xf>
    <xf numFmtId="165" fontId="8" fillId="5" borderId="5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20" fillId="7" borderId="8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 wrapText="1"/>
    </xf>
    <xf numFmtId="0" fontId="19" fillId="8" borderId="9" xfId="0" applyNumberFormat="1" applyFont="1" applyFill="1" applyBorder="1" applyAlignment="1">
      <alignment horizontal="center" vertical="center" wrapText="1"/>
    </xf>
    <xf numFmtId="9" fontId="20" fillId="9" borderId="8" xfId="0" applyNumberFormat="1" applyFont="1" applyFill="1" applyBorder="1" applyAlignment="1">
      <alignment horizontal="center" vertical="center"/>
    </xf>
    <xf numFmtId="9" fontId="21" fillId="9" borderId="8" xfId="0" applyNumberFormat="1" applyFont="1" applyFill="1" applyBorder="1" applyAlignment="1">
      <alignment horizontal="center" vertical="center"/>
    </xf>
    <xf numFmtId="9" fontId="21" fillId="7" borderId="8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6" borderId="1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left"/>
    </xf>
    <xf numFmtId="0" fontId="0" fillId="0" borderId="0" xfId="0" applyFont="1" applyAlignment="1"/>
    <xf numFmtId="0" fontId="9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/>
    <xf numFmtId="0" fontId="5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0" fillId="0" borderId="0" xfId="0" applyFont="1"/>
    <xf numFmtId="0" fontId="7" fillId="2" borderId="0" xfId="0" applyFont="1" applyFill="1" applyAlignment="1"/>
    <xf numFmtId="0" fontId="7" fillId="0" borderId="0" xfId="0" applyFont="1"/>
    <xf numFmtId="0" fontId="6" fillId="0" borderId="0" xfId="0" applyFont="1"/>
    <xf numFmtId="0" fontId="19" fillId="10" borderId="9" xfId="0" applyFont="1" applyFill="1" applyBorder="1" applyAlignment="1">
      <alignment horizontal="left" vertical="center" wrapText="1"/>
    </xf>
    <xf numFmtId="0" fontId="19" fillId="10" borderId="9" xfId="0" applyFont="1" applyFill="1" applyBorder="1" applyAlignment="1">
      <alignment horizontal="center" vertical="center" wrapText="1"/>
    </xf>
    <xf numFmtId="14" fontId="19" fillId="10" borderId="9" xfId="0" applyNumberFormat="1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vertical="center" wrapText="1"/>
    </xf>
    <xf numFmtId="0" fontId="19" fillId="11" borderId="9" xfId="0" applyFont="1" applyFill="1" applyBorder="1" applyAlignment="1">
      <alignment horizontal="left" vertical="center" wrapText="1"/>
    </xf>
    <xf numFmtId="0" fontId="19" fillId="11" borderId="9" xfId="0" applyFont="1" applyFill="1" applyBorder="1" applyAlignment="1">
      <alignment horizontal="center" vertical="center" wrapText="1"/>
    </xf>
    <xf numFmtId="14" fontId="19" fillId="11" borderId="9" xfId="0" applyNumberFormat="1" applyFont="1" applyFill="1" applyBorder="1" applyAlignment="1">
      <alignment horizontal="center" vertical="center" wrapText="1"/>
    </xf>
    <xf numFmtId="14" fontId="19" fillId="11" borderId="13" xfId="0" applyNumberFormat="1" applyFont="1" applyFill="1" applyBorder="1" applyAlignment="1">
      <alignment horizontal="center" vertical="center" wrapText="1"/>
    </xf>
    <xf numFmtId="14" fontId="19" fillId="10" borderId="13" xfId="0" applyNumberFormat="1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/>
    </xf>
    <xf numFmtId="14" fontId="14" fillId="0" borderId="0" xfId="0" applyNumberFormat="1" applyFont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9" fontId="20" fillId="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colors>
    <mruColors>
      <color rgb="FFEDE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B958"/>
  <sheetViews>
    <sheetView showGridLines="0" tabSelected="1" zoomScale="25" zoomScaleNormal="25" workbookViewId="0">
      <pane ySplit="10" topLeftCell="A11" activePane="bottomLeft" state="frozen"/>
      <selection pane="bottomLeft" activeCell="Q14" sqref="Q14"/>
    </sheetView>
  </sheetViews>
  <sheetFormatPr baseColWidth="10" defaultColWidth="14.42578125" defaultRowHeight="15" customHeight="1" outlineLevelRow="1" x14ac:dyDescent="0.2"/>
  <cols>
    <col min="1" max="1" width="9.42578125" customWidth="1"/>
    <col min="2" max="2" width="19" customWidth="1"/>
    <col min="3" max="3" width="26.85546875" customWidth="1"/>
    <col min="4" max="4" width="13.5703125" customWidth="1"/>
    <col min="5" max="7" width="11" customWidth="1"/>
    <col min="8" max="8" width="42.5703125" style="71" customWidth="1"/>
    <col min="9" max="9" width="10.85546875" customWidth="1"/>
    <col min="10" max="10" width="12.42578125" customWidth="1"/>
    <col min="11" max="11" width="14.85546875" customWidth="1"/>
    <col min="12" max="14" width="20.7109375" hidden="1" customWidth="1"/>
    <col min="15" max="24" width="20.7109375" customWidth="1"/>
    <col min="25" max="27" width="20.7109375" hidden="1" customWidth="1"/>
    <col min="28" max="28" width="3.85546875" customWidth="1"/>
  </cols>
  <sheetData>
    <row r="1" spans="1:28" ht="15.75" customHeight="1" x14ac:dyDescent="0.2">
      <c r="A1" s="1"/>
      <c r="B1" s="1"/>
      <c r="C1" s="1"/>
      <c r="D1" s="1"/>
      <c r="E1" s="1"/>
      <c r="F1" s="1"/>
      <c r="G1" s="1"/>
      <c r="H1" s="70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5.75" customHeight="1" thickBot="1" x14ac:dyDescent="0.25">
      <c r="A2" s="1"/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50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8" ht="15.75" customHeight="1" thickTop="1" x14ac:dyDescent="0.2">
      <c r="A3" s="3"/>
      <c r="B3" s="51"/>
      <c r="C3" s="52"/>
      <c r="D3" s="53"/>
      <c r="E3" s="52"/>
      <c r="F3" s="52"/>
      <c r="G3" s="52"/>
      <c r="H3" s="52"/>
      <c r="I3" s="52"/>
      <c r="J3" s="52"/>
      <c r="K3" s="52"/>
      <c r="L3" s="54"/>
      <c r="M3" s="52"/>
      <c r="N3" s="52"/>
      <c r="O3" s="52"/>
      <c r="P3" s="52"/>
      <c r="Q3" s="52"/>
      <c r="R3" s="52"/>
      <c r="S3" s="52"/>
      <c r="T3" s="52"/>
      <c r="U3" s="55"/>
      <c r="V3" s="52"/>
      <c r="W3" s="52"/>
      <c r="X3" s="52"/>
      <c r="Y3" s="52"/>
      <c r="Z3" s="52"/>
      <c r="AA3" s="52"/>
    </row>
    <row r="4" spans="1:28" ht="15.75" customHeight="1" x14ac:dyDescent="0.2">
      <c r="A4" s="4"/>
      <c r="B4" s="47" t="s">
        <v>1</v>
      </c>
      <c r="C4" s="46"/>
      <c r="D4" s="57" t="s">
        <v>20</v>
      </c>
      <c r="E4" s="46"/>
      <c r="F4" s="46"/>
      <c r="G4" s="46"/>
      <c r="H4" s="46"/>
      <c r="I4" s="5"/>
      <c r="J4" s="47" t="s">
        <v>2</v>
      </c>
      <c r="K4" s="46"/>
      <c r="L4" s="5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6"/>
      <c r="Z4" s="6"/>
      <c r="AA4" s="6"/>
    </row>
    <row r="5" spans="1:28" ht="15.75" customHeight="1" x14ac:dyDescent="0.2">
      <c r="A5" s="4"/>
      <c r="B5" s="47" t="s">
        <v>3</v>
      </c>
      <c r="C5" s="46"/>
      <c r="D5" s="58" t="s">
        <v>21</v>
      </c>
      <c r="E5" s="46"/>
      <c r="F5" s="46"/>
      <c r="G5" s="46"/>
      <c r="H5" s="46"/>
      <c r="I5" s="8"/>
      <c r="J5" s="59" t="s">
        <v>24</v>
      </c>
      <c r="K5" s="46"/>
      <c r="L5" s="45">
        <v>46081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9"/>
      <c r="Y5" s="9"/>
      <c r="Z5" s="9"/>
      <c r="AA5" s="9"/>
    </row>
    <row r="6" spans="1:28" ht="15.75" customHeight="1" x14ac:dyDescent="0.2">
      <c r="A6" s="4"/>
      <c r="B6" s="47" t="s">
        <v>4</v>
      </c>
      <c r="C6" s="46"/>
      <c r="D6" s="45">
        <f>L5-54</f>
        <v>46027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1:28" ht="15.75" customHeight="1" x14ac:dyDescent="0.2">
      <c r="A7" s="11"/>
      <c r="B7" s="12"/>
      <c r="C7" s="7"/>
      <c r="D7" s="13"/>
      <c r="E7" s="13"/>
      <c r="F7" s="13"/>
      <c r="G7" s="13"/>
      <c r="H7" s="72"/>
      <c r="I7" s="13"/>
      <c r="J7" s="13"/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10"/>
    </row>
    <row r="8" spans="1:28" ht="30" customHeight="1" x14ac:dyDescent="0.2">
      <c r="A8" s="14"/>
      <c r="B8" s="42" t="s">
        <v>48</v>
      </c>
      <c r="C8" s="42" t="s">
        <v>8</v>
      </c>
      <c r="D8" s="42" t="s">
        <v>9</v>
      </c>
      <c r="E8" s="42" t="s">
        <v>10</v>
      </c>
      <c r="F8" s="42" t="s">
        <v>11</v>
      </c>
      <c r="G8" s="42" t="s">
        <v>12</v>
      </c>
      <c r="H8" s="73" t="s">
        <v>13</v>
      </c>
      <c r="I8" s="42" t="s">
        <v>14</v>
      </c>
      <c r="J8" s="42" t="s">
        <v>15</v>
      </c>
      <c r="K8" s="42" t="s">
        <v>16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0"/>
    </row>
    <row r="9" spans="1:28" ht="25.5" customHeight="1" x14ac:dyDescent="0.2">
      <c r="A9" s="16"/>
      <c r="B9" s="42"/>
      <c r="C9" s="42"/>
      <c r="D9" s="42"/>
      <c r="E9" s="42"/>
      <c r="F9" s="42"/>
      <c r="G9" s="42"/>
      <c r="H9" s="73"/>
      <c r="I9" s="42"/>
      <c r="J9" s="42"/>
      <c r="K9" s="42"/>
      <c r="L9" s="17" t="s">
        <v>5</v>
      </c>
      <c r="M9" s="17" t="s">
        <v>6</v>
      </c>
      <c r="N9" s="17" t="s">
        <v>7</v>
      </c>
      <c r="O9" s="17" t="s">
        <v>27</v>
      </c>
      <c r="P9" s="17" t="s">
        <v>28</v>
      </c>
      <c r="Q9" s="17" t="s">
        <v>29</v>
      </c>
      <c r="R9" s="17" t="s">
        <v>30</v>
      </c>
      <c r="S9" s="17" t="s">
        <v>31</v>
      </c>
      <c r="T9" s="17" t="s">
        <v>32</v>
      </c>
      <c r="U9" s="17" t="s">
        <v>33</v>
      </c>
      <c r="V9" s="17" t="s">
        <v>34</v>
      </c>
      <c r="W9" s="17" t="s">
        <v>35</v>
      </c>
      <c r="X9" s="17" t="s">
        <v>36</v>
      </c>
      <c r="Y9" s="17" t="s">
        <v>37</v>
      </c>
      <c r="Z9" s="17" t="s">
        <v>38</v>
      </c>
      <c r="AA9" s="17" t="s">
        <v>39</v>
      </c>
      <c r="AB9" s="18"/>
    </row>
    <row r="10" spans="1:28" ht="37.5" customHeight="1" x14ac:dyDescent="0.2">
      <c r="A10" s="19"/>
      <c r="B10" s="44"/>
      <c r="C10" s="44"/>
      <c r="D10" s="44"/>
      <c r="E10" s="44"/>
      <c r="F10" s="44"/>
      <c r="G10" s="44"/>
      <c r="H10" s="73"/>
      <c r="I10" s="44"/>
      <c r="J10" s="44"/>
      <c r="K10" s="43"/>
      <c r="L10" s="32">
        <v>45889</v>
      </c>
      <c r="M10" s="32">
        <f t="shared" ref="M10:AA10" si="0">L10+7</f>
        <v>45896</v>
      </c>
      <c r="N10" s="32">
        <f t="shared" si="0"/>
        <v>45903</v>
      </c>
      <c r="O10" s="32">
        <v>46027</v>
      </c>
      <c r="P10" s="32">
        <f t="shared" si="0"/>
        <v>46034</v>
      </c>
      <c r="Q10" s="32">
        <f t="shared" si="0"/>
        <v>46041</v>
      </c>
      <c r="R10" s="32">
        <f t="shared" si="0"/>
        <v>46048</v>
      </c>
      <c r="S10" s="32">
        <f t="shared" si="0"/>
        <v>46055</v>
      </c>
      <c r="T10" s="32">
        <f t="shared" si="0"/>
        <v>46062</v>
      </c>
      <c r="U10" s="32">
        <f t="shared" si="0"/>
        <v>46069</v>
      </c>
      <c r="V10" s="32">
        <f t="shared" si="0"/>
        <v>46076</v>
      </c>
      <c r="W10" s="32">
        <f t="shared" si="0"/>
        <v>46083</v>
      </c>
      <c r="X10" s="32">
        <f t="shared" si="0"/>
        <v>46090</v>
      </c>
      <c r="Y10" s="32">
        <f t="shared" si="0"/>
        <v>46097</v>
      </c>
      <c r="Z10" s="32">
        <f t="shared" si="0"/>
        <v>46104</v>
      </c>
      <c r="AA10" s="32">
        <f t="shared" si="0"/>
        <v>46111</v>
      </c>
      <c r="AB10" s="20"/>
    </row>
    <row r="11" spans="1:28" ht="84" customHeight="1" outlineLevel="1" x14ac:dyDescent="0.2">
      <c r="A11" s="21"/>
      <c r="B11" s="35">
        <v>1</v>
      </c>
      <c r="C11" s="64" t="s">
        <v>40</v>
      </c>
      <c r="D11" s="65" t="s">
        <v>22</v>
      </c>
      <c r="E11" s="66">
        <v>46027</v>
      </c>
      <c r="F11" s="66">
        <f>G11</f>
        <v>46031</v>
      </c>
      <c r="G11" s="67">
        <f>E11+4</f>
        <v>46031</v>
      </c>
      <c r="H11" s="41" t="s">
        <v>43</v>
      </c>
      <c r="I11" s="69">
        <f t="shared" ref="I11:I14" si="1">G11-F11</f>
        <v>0</v>
      </c>
      <c r="J11" s="31">
        <f t="shared" ref="J11:J14" si="2">DAYS360(E11,F11)+1</f>
        <v>5</v>
      </c>
      <c r="K11" s="22">
        <v>0.7</v>
      </c>
      <c r="L11" s="34"/>
      <c r="M11" s="34"/>
      <c r="N11" s="34"/>
      <c r="O11" s="37"/>
      <c r="P11" s="25"/>
      <c r="Q11" s="25"/>
      <c r="R11" s="25"/>
      <c r="S11" s="25"/>
      <c r="T11" s="25"/>
      <c r="U11" s="25"/>
      <c r="V11" s="25"/>
      <c r="W11" s="25"/>
      <c r="X11" s="25"/>
      <c r="Y11" s="26"/>
      <c r="Z11" s="27"/>
      <c r="AA11" s="25"/>
      <c r="AB11" s="28"/>
    </row>
    <row r="12" spans="1:28" ht="51.75" customHeight="1" outlineLevel="1" x14ac:dyDescent="0.2">
      <c r="A12" s="29"/>
      <c r="B12" s="36">
        <v>2</v>
      </c>
      <c r="C12" s="64" t="s">
        <v>25</v>
      </c>
      <c r="D12" s="65" t="s">
        <v>22</v>
      </c>
      <c r="E12" s="66">
        <v>46027</v>
      </c>
      <c r="F12" s="66">
        <f>G12</f>
        <v>46031</v>
      </c>
      <c r="G12" s="67">
        <v>46031</v>
      </c>
      <c r="H12" s="31" t="s">
        <v>60</v>
      </c>
      <c r="I12" s="69">
        <f t="shared" si="1"/>
        <v>0</v>
      </c>
      <c r="J12" s="31">
        <f t="shared" si="2"/>
        <v>5</v>
      </c>
      <c r="K12" s="22">
        <v>0.1</v>
      </c>
      <c r="L12" s="23"/>
      <c r="M12" s="24"/>
      <c r="N12" s="24"/>
      <c r="O12" s="37"/>
      <c r="P12" s="25"/>
      <c r="Q12" s="25"/>
      <c r="R12" s="25"/>
      <c r="S12" s="25"/>
      <c r="T12" s="25"/>
      <c r="U12" s="25"/>
      <c r="V12" s="25"/>
      <c r="W12" s="25"/>
      <c r="X12" s="25"/>
      <c r="Y12" s="26"/>
      <c r="Z12" s="27"/>
      <c r="AA12" s="25"/>
      <c r="AB12" s="28"/>
    </row>
    <row r="13" spans="1:28" ht="66.75" customHeight="1" outlineLevel="1" x14ac:dyDescent="0.2">
      <c r="A13" s="21"/>
      <c r="B13" s="35">
        <v>3</v>
      </c>
      <c r="C13" s="64" t="s">
        <v>42</v>
      </c>
      <c r="D13" s="65" t="s">
        <v>22</v>
      </c>
      <c r="E13" s="66">
        <v>46031</v>
      </c>
      <c r="F13" s="66">
        <f t="shared" ref="F13" si="3">G13</f>
        <v>46031</v>
      </c>
      <c r="G13" s="67">
        <f>G12</f>
        <v>46031</v>
      </c>
      <c r="H13" s="31" t="s">
        <v>44</v>
      </c>
      <c r="I13" s="69">
        <f t="shared" si="1"/>
        <v>0</v>
      </c>
      <c r="J13" s="31">
        <f t="shared" si="2"/>
        <v>1</v>
      </c>
      <c r="K13" s="22">
        <v>0.8</v>
      </c>
      <c r="L13" s="23"/>
      <c r="M13" s="24"/>
      <c r="N13" s="24"/>
      <c r="O13" s="37"/>
      <c r="P13" s="25"/>
      <c r="Q13" s="25"/>
      <c r="R13" s="25"/>
      <c r="S13" s="25"/>
      <c r="T13" s="25"/>
      <c r="U13" s="25"/>
      <c r="V13" s="25"/>
      <c r="W13" s="25"/>
      <c r="X13" s="25"/>
      <c r="Y13" s="26"/>
      <c r="Z13" s="27"/>
      <c r="AA13" s="25"/>
      <c r="AB13" s="28"/>
    </row>
    <row r="14" spans="1:28" ht="27" customHeight="1" outlineLevel="1" x14ac:dyDescent="0.2">
      <c r="A14" s="21"/>
      <c r="B14" s="35">
        <v>4</v>
      </c>
      <c r="C14" s="64" t="s">
        <v>41</v>
      </c>
      <c r="D14" s="65" t="s">
        <v>22</v>
      </c>
      <c r="E14" s="66">
        <v>46031</v>
      </c>
      <c r="F14" s="66">
        <f>G14</f>
        <v>46034</v>
      </c>
      <c r="G14" s="67">
        <v>46034</v>
      </c>
      <c r="H14" s="31" t="s">
        <v>45</v>
      </c>
      <c r="I14" s="69">
        <f t="shared" si="1"/>
        <v>0</v>
      </c>
      <c r="J14" s="31">
        <f t="shared" si="2"/>
        <v>4</v>
      </c>
      <c r="K14" s="22">
        <v>0</v>
      </c>
      <c r="L14" s="23"/>
      <c r="M14" s="24"/>
      <c r="N14" s="24"/>
      <c r="O14" s="37"/>
      <c r="P14" s="25"/>
      <c r="Q14" s="25"/>
      <c r="R14" s="25"/>
      <c r="S14" s="25"/>
      <c r="T14" s="25"/>
      <c r="U14" s="25"/>
      <c r="V14" s="25"/>
      <c r="W14" s="25"/>
      <c r="X14" s="25"/>
      <c r="Y14" s="26"/>
      <c r="Z14" s="27"/>
      <c r="AA14" s="25"/>
      <c r="AB14" s="28"/>
    </row>
    <row r="15" spans="1:28" ht="113.25" customHeight="1" outlineLevel="1" x14ac:dyDescent="0.2">
      <c r="A15" s="21"/>
      <c r="B15" s="35">
        <v>5</v>
      </c>
      <c r="C15" s="60" t="s">
        <v>46</v>
      </c>
      <c r="D15" s="61" t="s">
        <v>22</v>
      </c>
      <c r="E15" s="62">
        <v>46034</v>
      </c>
      <c r="F15" s="62">
        <f>G15</f>
        <v>46041</v>
      </c>
      <c r="G15" s="68">
        <f>E15+7</f>
        <v>46041</v>
      </c>
      <c r="H15" s="31" t="s">
        <v>49</v>
      </c>
      <c r="I15" s="69">
        <f>G15-F15</f>
        <v>0</v>
      </c>
      <c r="J15" s="31">
        <f>G15-E15</f>
        <v>7</v>
      </c>
      <c r="K15" s="22">
        <v>0.3</v>
      </c>
      <c r="L15" s="23"/>
      <c r="M15" s="24"/>
      <c r="N15" s="24"/>
      <c r="O15" s="25"/>
      <c r="P15" s="37"/>
      <c r="Q15" s="77"/>
      <c r="R15" s="25"/>
      <c r="S15" s="25"/>
      <c r="T15" s="25"/>
      <c r="U15" s="25"/>
      <c r="V15" s="25"/>
      <c r="W15" s="25"/>
      <c r="X15" s="25"/>
      <c r="Y15" s="26"/>
      <c r="Z15" s="27"/>
      <c r="AA15" s="25"/>
      <c r="AB15" s="28"/>
    </row>
    <row r="16" spans="1:28" ht="38.25" customHeight="1" outlineLevel="1" x14ac:dyDescent="0.2">
      <c r="A16" s="21"/>
      <c r="B16" s="36">
        <v>6</v>
      </c>
      <c r="C16" s="60" t="s">
        <v>47</v>
      </c>
      <c r="D16" s="61" t="s">
        <v>22</v>
      </c>
      <c r="E16" s="62">
        <v>46037</v>
      </c>
      <c r="F16" s="62">
        <f>G16</f>
        <v>46041</v>
      </c>
      <c r="G16" s="68">
        <f>E16+4</f>
        <v>46041</v>
      </c>
      <c r="H16" s="31" t="s">
        <v>50</v>
      </c>
      <c r="I16" s="69">
        <f>G16-F16</f>
        <v>0</v>
      </c>
      <c r="J16" s="31">
        <f>G16-E16</f>
        <v>4</v>
      </c>
      <c r="K16" s="22">
        <v>0.3</v>
      </c>
      <c r="L16" s="23"/>
      <c r="M16" s="24"/>
      <c r="N16" s="24"/>
      <c r="O16" s="25"/>
      <c r="P16" s="37"/>
      <c r="Q16" s="25"/>
      <c r="R16" s="25"/>
      <c r="S16" s="25"/>
      <c r="T16" s="25"/>
      <c r="U16" s="25"/>
      <c r="V16" s="25"/>
      <c r="W16" s="25"/>
      <c r="X16" s="25"/>
      <c r="Y16" s="26"/>
      <c r="Z16" s="27"/>
      <c r="AA16" s="25"/>
      <c r="AB16" s="28"/>
    </row>
    <row r="17" spans="1:28" s="33" customFormat="1" ht="61.5" customHeight="1" outlineLevel="1" x14ac:dyDescent="0.2">
      <c r="A17" s="29"/>
      <c r="B17" s="35">
        <v>7</v>
      </c>
      <c r="C17" s="60" t="s">
        <v>23</v>
      </c>
      <c r="D17" s="61" t="s">
        <v>22</v>
      </c>
      <c r="E17" s="62">
        <v>46041</v>
      </c>
      <c r="F17" s="62">
        <f>G17</f>
        <v>46055</v>
      </c>
      <c r="G17" s="68">
        <f>E17+14</f>
        <v>46055</v>
      </c>
      <c r="H17" s="31" t="s">
        <v>62</v>
      </c>
      <c r="I17" s="69">
        <f t="shared" ref="I17:I26" si="4">G17-F17</f>
        <v>0</v>
      </c>
      <c r="J17" s="31">
        <f t="shared" ref="J17:J26" si="5">DAYS360(E17,F17)+1</f>
        <v>14</v>
      </c>
      <c r="K17" s="22">
        <v>0.5</v>
      </c>
      <c r="L17" s="23"/>
      <c r="M17" s="24"/>
      <c r="N17" s="24"/>
      <c r="O17" s="25"/>
      <c r="P17" s="25"/>
      <c r="Q17" s="37"/>
      <c r="R17" s="37"/>
      <c r="S17" s="77"/>
      <c r="T17" s="25"/>
      <c r="U17" s="25"/>
      <c r="V17" s="25"/>
      <c r="W17" s="25"/>
      <c r="X17" s="25"/>
      <c r="Y17" s="26"/>
      <c r="Z17" s="27"/>
      <c r="AA17" s="25"/>
      <c r="AB17" s="28"/>
    </row>
    <row r="18" spans="1:28" ht="43.5" customHeight="1" outlineLevel="1" x14ac:dyDescent="0.2">
      <c r="A18" s="29"/>
      <c r="B18" s="35">
        <v>8</v>
      </c>
      <c r="C18" s="60" t="s">
        <v>61</v>
      </c>
      <c r="D18" s="61" t="s">
        <v>22</v>
      </c>
      <c r="E18" s="62">
        <f>E17+7</f>
        <v>46048</v>
      </c>
      <c r="F18" s="62">
        <f>G17</f>
        <v>46055</v>
      </c>
      <c r="G18" s="68">
        <f>G17</f>
        <v>46055</v>
      </c>
      <c r="H18" s="31" t="s">
        <v>63</v>
      </c>
      <c r="I18" s="69">
        <f t="shared" si="4"/>
        <v>0</v>
      </c>
      <c r="J18" s="31">
        <f t="shared" si="5"/>
        <v>7</v>
      </c>
      <c r="K18" s="22">
        <v>0</v>
      </c>
      <c r="L18" s="23"/>
      <c r="M18" s="24"/>
      <c r="N18" s="24"/>
      <c r="O18" s="25"/>
      <c r="P18" s="25"/>
      <c r="Q18" s="25"/>
      <c r="R18" s="37"/>
      <c r="S18" s="77"/>
      <c r="T18" s="25"/>
      <c r="U18" s="25"/>
      <c r="V18" s="25"/>
      <c r="W18" s="25"/>
      <c r="X18" s="25"/>
      <c r="Y18" s="26"/>
      <c r="Z18" s="27"/>
      <c r="AA18" s="25"/>
      <c r="AB18" s="28"/>
    </row>
    <row r="19" spans="1:28" ht="78.75" customHeight="1" outlineLevel="1" x14ac:dyDescent="0.2">
      <c r="A19" s="21"/>
      <c r="B19" s="35">
        <v>9</v>
      </c>
      <c r="C19" s="60" t="s">
        <v>51</v>
      </c>
      <c r="D19" s="61" t="s">
        <v>22</v>
      </c>
      <c r="E19" s="62">
        <v>46048</v>
      </c>
      <c r="F19" s="62">
        <f>G19</f>
        <v>46062</v>
      </c>
      <c r="G19" s="68">
        <f>E19+14</f>
        <v>46062</v>
      </c>
      <c r="H19" s="31" t="s">
        <v>64</v>
      </c>
      <c r="I19" s="69">
        <f t="shared" si="4"/>
        <v>0</v>
      </c>
      <c r="J19" s="31">
        <f t="shared" si="5"/>
        <v>14</v>
      </c>
      <c r="K19" s="22">
        <v>0</v>
      </c>
      <c r="L19" s="23"/>
      <c r="M19" s="24"/>
      <c r="N19" s="24"/>
      <c r="O19" s="25"/>
      <c r="P19" s="25"/>
      <c r="Q19" s="25"/>
      <c r="R19" s="37"/>
      <c r="S19" s="37"/>
      <c r="T19" s="77"/>
      <c r="U19" s="25"/>
      <c r="V19" s="25"/>
      <c r="W19" s="25"/>
      <c r="X19" s="25"/>
      <c r="Y19" s="26"/>
      <c r="Z19" s="27"/>
      <c r="AA19" s="25"/>
      <c r="AB19" s="28"/>
    </row>
    <row r="20" spans="1:28" ht="84" customHeight="1" outlineLevel="1" x14ac:dyDescent="0.2">
      <c r="A20" s="29"/>
      <c r="B20" s="36">
        <v>10</v>
      </c>
      <c r="C20" s="60" t="s">
        <v>52</v>
      </c>
      <c r="D20" s="61" t="s">
        <v>22</v>
      </c>
      <c r="E20" s="62">
        <v>46041</v>
      </c>
      <c r="F20" s="62">
        <f>G20</f>
        <v>46044</v>
      </c>
      <c r="G20" s="68">
        <f>E20+3</f>
        <v>46044</v>
      </c>
      <c r="H20" s="31" t="s">
        <v>65</v>
      </c>
      <c r="I20" s="69">
        <f t="shared" si="4"/>
        <v>0</v>
      </c>
      <c r="J20" s="31">
        <f t="shared" si="5"/>
        <v>4</v>
      </c>
      <c r="K20" s="22">
        <v>0</v>
      </c>
      <c r="L20" s="23"/>
      <c r="M20" s="24"/>
      <c r="N20" s="24"/>
      <c r="O20" s="25"/>
      <c r="P20" s="25"/>
      <c r="Q20" s="37"/>
      <c r="R20" s="25"/>
      <c r="S20" s="25"/>
      <c r="T20" s="25"/>
      <c r="U20" s="25"/>
      <c r="V20" s="25"/>
      <c r="W20" s="25"/>
      <c r="X20" s="25"/>
      <c r="Y20" s="26"/>
      <c r="Z20" s="27"/>
      <c r="AA20" s="25"/>
      <c r="AB20" s="28"/>
    </row>
    <row r="21" spans="1:28" ht="57" customHeight="1" outlineLevel="1" x14ac:dyDescent="0.2">
      <c r="A21" s="21"/>
      <c r="B21" s="35">
        <v>11</v>
      </c>
      <c r="C21" s="60" t="s">
        <v>53</v>
      </c>
      <c r="D21" s="61" t="s">
        <v>22</v>
      </c>
      <c r="E21" s="62">
        <v>46055</v>
      </c>
      <c r="F21" s="62">
        <f>G21</f>
        <v>46069</v>
      </c>
      <c r="G21" s="68">
        <f>E21+14</f>
        <v>46069</v>
      </c>
      <c r="H21" s="31" t="s">
        <v>66</v>
      </c>
      <c r="I21" s="69">
        <f t="shared" si="4"/>
        <v>0</v>
      </c>
      <c r="J21" s="31">
        <f t="shared" ref="J21:J26" si="6">G21-E21</f>
        <v>14</v>
      </c>
      <c r="K21" s="22">
        <v>0</v>
      </c>
      <c r="L21" s="23"/>
      <c r="M21" s="24"/>
      <c r="N21" s="24"/>
      <c r="O21" s="25"/>
      <c r="P21" s="25"/>
      <c r="Q21" s="25"/>
      <c r="R21" s="25"/>
      <c r="S21" s="37"/>
      <c r="T21" s="37"/>
      <c r="U21" s="77"/>
      <c r="V21" s="25"/>
      <c r="W21" s="25"/>
      <c r="X21" s="25"/>
      <c r="Y21" s="26"/>
      <c r="Z21" s="27"/>
      <c r="AA21" s="25"/>
      <c r="AB21" s="28"/>
    </row>
    <row r="22" spans="1:28" ht="83.25" customHeight="1" outlineLevel="1" x14ac:dyDescent="0.2">
      <c r="A22" s="29"/>
      <c r="B22" s="35">
        <v>12</v>
      </c>
      <c r="C22" s="60" t="s">
        <v>54</v>
      </c>
      <c r="D22" s="61" t="s">
        <v>22</v>
      </c>
      <c r="E22" s="62">
        <v>46062</v>
      </c>
      <c r="F22" s="62">
        <f>G22</f>
        <v>46069</v>
      </c>
      <c r="G22" s="68">
        <f>E22+7</f>
        <v>46069</v>
      </c>
      <c r="H22" s="63" t="s">
        <v>69</v>
      </c>
      <c r="I22" s="69">
        <f t="shared" si="4"/>
        <v>0</v>
      </c>
      <c r="J22" s="31">
        <f t="shared" si="6"/>
        <v>7</v>
      </c>
      <c r="K22" s="22">
        <v>0</v>
      </c>
      <c r="L22" s="23"/>
      <c r="M22" s="24"/>
      <c r="N22" s="24"/>
      <c r="O22" s="25"/>
      <c r="P22" s="25"/>
      <c r="Q22" s="25"/>
      <c r="R22" s="25"/>
      <c r="S22" s="25"/>
      <c r="T22" s="37"/>
      <c r="U22" s="77"/>
      <c r="V22" s="25"/>
      <c r="W22" s="25"/>
      <c r="X22" s="25"/>
      <c r="Y22" s="26"/>
      <c r="Z22" s="27"/>
      <c r="AA22" s="25"/>
      <c r="AB22" s="28"/>
    </row>
    <row r="23" spans="1:28" ht="47.25" customHeight="1" outlineLevel="1" x14ac:dyDescent="0.2">
      <c r="A23" s="21"/>
      <c r="B23" s="35">
        <v>13</v>
      </c>
      <c r="C23" s="60" t="s">
        <v>55</v>
      </c>
      <c r="D23" s="61" t="s">
        <v>22</v>
      </c>
      <c r="E23" s="62">
        <v>46063</v>
      </c>
      <c r="F23" s="62">
        <f>G23</f>
        <v>46070</v>
      </c>
      <c r="G23" s="68">
        <f>E23+7</f>
        <v>46070</v>
      </c>
      <c r="H23" s="63" t="s">
        <v>67</v>
      </c>
      <c r="I23" s="69">
        <f t="shared" si="4"/>
        <v>0</v>
      </c>
      <c r="J23" s="31">
        <f t="shared" ref="J23:J26" si="7">DAYS360(E23,F23)+1</f>
        <v>8</v>
      </c>
      <c r="K23" s="22">
        <v>0</v>
      </c>
      <c r="L23" s="23"/>
      <c r="M23" s="24"/>
      <c r="N23" s="24"/>
      <c r="O23" s="25"/>
      <c r="P23" s="25"/>
      <c r="Q23" s="25"/>
      <c r="R23" s="25"/>
      <c r="S23" s="25"/>
      <c r="T23" s="37"/>
      <c r="U23" s="37"/>
      <c r="V23" s="25"/>
      <c r="W23" s="25"/>
      <c r="X23" s="25"/>
      <c r="Y23" s="26"/>
      <c r="Z23" s="27"/>
      <c r="AA23" s="25"/>
      <c r="AB23" s="28"/>
    </row>
    <row r="24" spans="1:28" ht="73.5" customHeight="1" outlineLevel="1" x14ac:dyDescent="0.2">
      <c r="A24" s="29"/>
      <c r="B24" s="36">
        <v>14</v>
      </c>
      <c r="C24" s="60" t="s">
        <v>56</v>
      </c>
      <c r="D24" s="61" t="s">
        <v>22</v>
      </c>
      <c r="E24" s="62">
        <v>46069</v>
      </c>
      <c r="F24" s="62">
        <f>G24</f>
        <v>46076</v>
      </c>
      <c r="G24" s="68">
        <f>E24+7</f>
        <v>46076</v>
      </c>
      <c r="H24" s="63" t="s">
        <v>68</v>
      </c>
      <c r="I24" s="69">
        <f t="shared" si="4"/>
        <v>0</v>
      </c>
      <c r="J24" s="31">
        <f t="shared" si="7"/>
        <v>8</v>
      </c>
      <c r="K24" s="22">
        <v>0</v>
      </c>
      <c r="L24" s="23"/>
      <c r="M24" s="24"/>
      <c r="N24" s="24"/>
      <c r="O24" s="25"/>
      <c r="P24" s="25"/>
      <c r="Q24" s="25"/>
      <c r="R24" s="25"/>
      <c r="S24" s="25"/>
      <c r="T24" s="25"/>
      <c r="U24" s="37"/>
      <c r="V24" s="37"/>
      <c r="W24" s="25"/>
      <c r="X24" s="25"/>
      <c r="Y24" s="26"/>
      <c r="Z24" s="27"/>
      <c r="AA24" s="25"/>
      <c r="AB24" s="28"/>
    </row>
    <row r="25" spans="1:28" ht="79.5" customHeight="1" outlineLevel="1" x14ac:dyDescent="0.2">
      <c r="A25" s="21"/>
      <c r="B25" s="35">
        <v>15</v>
      </c>
      <c r="C25" s="60" t="s">
        <v>26</v>
      </c>
      <c r="D25" s="61" t="s">
        <v>22</v>
      </c>
      <c r="E25" s="62">
        <v>46069</v>
      </c>
      <c r="F25" s="62">
        <f>G25</f>
        <v>46083</v>
      </c>
      <c r="G25" s="68">
        <f>E25+14</f>
        <v>46083</v>
      </c>
      <c r="H25" s="31" t="s">
        <v>57</v>
      </c>
      <c r="I25" s="69">
        <f t="shared" si="4"/>
        <v>0</v>
      </c>
      <c r="J25" s="31">
        <f t="shared" si="7"/>
        <v>17</v>
      </c>
      <c r="K25" s="22">
        <v>0</v>
      </c>
      <c r="L25" s="23"/>
      <c r="M25" s="24"/>
      <c r="N25" s="24"/>
      <c r="O25" s="25"/>
      <c r="P25" s="25"/>
      <c r="Q25" s="25"/>
      <c r="R25" s="25"/>
      <c r="S25" s="25"/>
      <c r="T25" s="25"/>
      <c r="U25" s="37"/>
      <c r="V25" s="37"/>
      <c r="W25" s="37"/>
      <c r="X25" s="37"/>
      <c r="Y25" s="26"/>
      <c r="Z25" s="27"/>
      <c r="AA25" s="25"/>
      <c r="AB25" s="28"/>
    </row>
    <row r="26" spans="1:28" ht="66" customHeight="1" outlineLevel="1" x14ac:dyDescent="0.2">
      <c r="A26" s="29"/>
      <c r="B26" s="35">
        <v>16</v>
      </c>
      <c r="C26" s="60" t="s">
        <v>58</v>
      </c>
      <c r="D26" s="60" t="s">
        <v>22</v>
      </c>
      <c r="E26" s="62">
        <v>46069</v>
      </c>
      <c r="F26" s="62">
        <f>G26</f>
        <v>46083</v>
      </c>
      <c r="G26" s="68">
        <f>E26+14</f>
        <v>46083</v>
      </c>
      <c r="H26" s="31" t="s">
        <v>59</v>
      </c>
      <c r="I26" s="69">
        <f t="shared" si="4"/>
        <v>0</v>
      </c>
      <c r="J26" s="31">
        <f t="shared" si="7"/>
        <v>17</v>
      </c>
      <c r="K26" s="22">
        <v>0</v>
      </c>
      <c r="L26" s="23"/>
      <c r="M26" s="24"/>
      <c r="N26" s="24"/>
      <c r="O26" s="25"/>
      <c r="P26" s="25"/>
      <c r="Q26" s="25"/>
      <c r="R26" s="25"/>
      <c r="S26" s="25"/>
      <c r="T26" s="25"/>
      <c r="U26" s="37"/>
      <c r="V26" s="37"/>
      <c r="W26" s="37"/>
      <c r="X26" s="37"/>
      <c r="Y26" s="26"/>
      <c r="Z26" s="27"/>
      <c r="AA26" s="25"/>
      <c r="AB26" s="28"/>
    </row>
    <row r="27" spans="1:28" ht="30.75" customHeight="1" outlineLevel="1" x14ac:dyDescent="0.2">
      <c r="A27" s="21"/>
      <c r="H27" s="75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38"/>
      <c r="Z27" s="39"/>
      <c r="AA27" s="25"/>
      <c r="AB27" s="28"/>
    </row>
    <row r="28" spans="1:28" ht="30" customHeight="1" outlineLevel="1" x14ac:dyDescent="0.2">
      <c r="A28" s="29"/>
      <c r="H28" s="75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38"/>
      <c r="Z28" s="39"/>
      <c r="AA28" s="25"/>
      <c r="AB28" s="28"/>
    </row>
    <row r="29" spans="1:28" ht="42.75" customHeight="1" outlineLevel="1" x14ac:dyDescent="0.2">
      <c r="A29" s="21"/>
      <c r="H29" s="75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38"/>
      <c r="Z29" s="39"/>
      <c r="AA29" s="25"/>
      <c r="AB29" s="28"/>
    </row>
    <row r="30" spans="1:28" ht="42.75" customHeight="1" outlineLevel="1" x14ac:dyDescent="0.2">
      <c r="A30" s="21"/>
      <c r="H30" s="75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38"/>
      <c r="Z30" s="39"/>
      <c r="AA30" s="25"/>
      <c r="AB30" s="28"/>
    </row>
    <row r="31" spans="1:28" ht="17.25" customHeight="1" outlineLevel="1" x14ac:dyDescent="0.2">
      <c r="A31" s="29"/>
      <c r="H31" s="75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28"/>
    </row>
    <row r="32" spans="1:28" ht="17.25" customHeight="1" outlineLevel="1" x14ac:dyDescent="0.2">
      <c r="A32" s="29"/>
      <c r="G32" s="33"/>
      <c r="H32" s="75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28"/>
    </row>
    <row r="33" spans="1:28" ht="17.25" customHeight="1" outlineLevel="1" x14ac:dyDescent="0.2">
      <c r="A33" s="29"/>
      <c r="B33" s="33"/>
      <c r="C33" s="33"/>
      <c r="D33" s="33"/>
      <c r="E33" s="33"/>
      <c r="F33" s="33"/>
      <c r="G33" s="33"/>
      <c r="H33" s="75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28"/>
    </row>
    <row r="34" spans="1:28" ht="17.25" customHeight="1" outlineLevel="1" x14ac:dyDescent="0.2">
      <c r="A34" s="29"/>
      <c r="B34" s="33"/>
      <c r="C34" s="33"/>
      <c r="D34" s="33"/>
      <c r="E34" s="33"/>
      <c r="F34" s="33"/>
      <c r="G34" s="33"/>
      <c r="H34" s="75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28"/>
    </row>
    <row r="35" spans="1:28" ht="17.25" customHeight="1" outlineLevel="1" x14ac:dyDescent="0.2">
      <c r="A35" s="29"/>
      <c r="B35" s="40"/>
      <c r="C35" s="40"/>
      <c r="D35" s="40"/>
      <c r="E35" s="33"/>
      <c r="F35" s="33"/>
      <c r="G35" s="33"/>
      <c r="H35" s="75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28"/>
    </row>
    <row r="36" spans="1:28" ht="17.25" customHeight="1" outlineLevel="1" x14ac:dyDescent="0.2">
      <c r="A36" s="21"/>
      <c r="B36" s="40"/>
      <c r="C36" s="40"/>
      <c r="D36" s="40"/>
      <c r="E36" s="33"/>
      <c r="F36" s="33"/>
      <c r="G36" s="33"/>
      <c r="H36" s="75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28"/>
    </row>
    <row r="37" spans="1:28" ht="17.25" customHeight="1" outlineLevel="1" x14ac:dyDescent="0.2">
      <c r="A37" s="21"/>
      <c r="B37" s="40"/>
      <c r="C37" s="40"/>
      <c r="D37" s="40"/>
      <c r="E37" s="33"/>
      <c r="F37" s="33"/>
      <c r="G37" s="33"/>
      <c r="H37" s="75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28"/>
    </row>
    <row r="38" spans="1:28" ht="15.75" customHeight="1" x14ac:dyDescent="0.2">
      <c r="A38" s="21"/>
      <c r="B38" s="33"/>
      <c r="C38" s="33"/>
      <c r="D38" s="33"/>
      <c r="E38" s="33"/>
      <c r="F38" s="33"/>
      <c r="H38" s="75"/>
    </row>
    <row r="39" spans="1:28" ht="15.75" customHeight="1" x14ac:dyDescent="0.2">
      <c r="H39" s="75"/>
    </row>
    <row r="40" spans="1:28" ht="15.75" customHeight="1" x14ac:dyDescent="0.2">
      <c r="H40" s="75"/>
    </row>
    <row r="41" spans="1:28" ht="15.75" customHeight="1" x14ac:dyDescent="0.2">
      <c r="H41" s="75"/>
    </row>
    <row r="42" spans="1:28" ht="15.75" customHeight="1" x14ac:dyDescent="0.2">
      <c r="H42" s="76"/>
    </row>
    <row r="43" spans="1:28" ht="15.75" customHeight="1" x14ac:dyDescent="0.2">
      <c r="H43" s="76"/>
    </row>
    <row r="44" spans="1:28" ht="15.75" customHeight="1" x14ac:dyDescent="0.2">
      <c r="H44" s="76"/>
    </row>
    <row r="45" spans="1:28" ht="15.75" customHeight="1" x14ac:dyDescent="0.2">
      <c r="H45" s="76"/>
    </row>
    <row r="46" spans="1:28" ht="15.75" customHeight="1" x14ac:dyDescent="0.2">
      <c r="H46" s="76"/>
    </row>
    <row r="47" spans="1:28" ht="15.75" customHeight="1" x14ac:dyDescent="0.2">
      <c r="H47" s="76"/>
    </row>
    <row r="48" spans="1:28" ht="15.75" customHeight="1" x14ac:dyDescent="0.2">
      <c r="H48" s="76"/>
    </row>
    <row r="49" spans="8:8" ht="15.75" customHeight="1" x14ac:dyDescent="0.2">
      <c r="H49" s="76"/>
    </row>
    <row r="50" spans="8:8" ht="15.75" customHeight="1" x14ac:dyDescent="0.2">
      <c r="H50" s="76"/>
    </row>
    <row r="51" spans="8:8" ht="15.75" customHeight="1" x14ac:dyDescent="0.2">
      <c r="H51" s="76"/>
    </row>
    <row r="52" spans="8:8" ht="15.75" customHeight="1" x14ac:dyDescent="0.2">
      <c r="H52" s="76"/>
    </row>
    <row r="53" spans="8:8" ht="15.75" customHeight="1" x14ac:dyDescent="0.2">
      <c r="H53" s="76"/>
    </row>
    <row r="54" spans="8:8" ht="15.75" customHeight="1" x14ac:dyDescent="0.2">
      <c r="H54" s="76"/>
    </row>
    <row r="55" spans="8:8" ht="15.75" customHeight="1" x14ac:dyDescent="0.2">
      <c r="H55" s="76"/>
    </row>
    <row r="56" spans="8:8" ht="15.75" customHeight="1" x14ac:dyDescent="0.2">
      <c r="H56" s="76"/>
    </row>
    <row r="57" spans="8:8" ht="15.75" customHeight="1" x14ac:dyDescent="0.2">
      <c r="H57" s="76"/>
    </row>
    <row r="58" spans="8:8" ht="15.75" customHeight="1" x14ac:dyDescent="0.2">
      <c r="H58" s="76"/>
    </row>
    <row r="59" spans="8:8" ht="15.75" customHeight="1" x14ac:dyDescent="0.2">
      <c r="H59" s="76"/>
    </row>
    <row r="60" spans="8:8" ht="15.75" customHeight="1" x14ac:dyDescent="0.2">
      <c r="H60" s="76"/>
    </row>
    <row r="61" spans="8:8" ht="15.75" customHeight="1" x14ac:dyDescent="0.2">
      <c r="H61" s="76"/>
    </row>
    <row r="62" spans="8:8" ht="15.75" customHeight="1" x14ac:dyDescent="0.2">
      <c r="H62" s="76"/>
    </row>
    <row r="63" spans="8:8" ht="15.75" customHeight="1" x14ac:dyDescent="0.2">
      <c r="H63" s="76"/>
    </row>
    <row r="64" spans="8:8" ht="15.75" customHeight="1" x14ac:dyDescent="0.2">
      <c r="H64" s="76"/>
    </row>
    <row r="65" spans="8:8" ht="15.75" customHeight="1" x14ac:dyDescent="0.2">
      <c r="H65" s="76"/>
    </row>
    <row r="66" spans="8:8" ht="15.75" customHeight="1" x14ac:dyDescent="0.2">
      <c r="H66" s="76"/>
    </row>
    <row r="67" spans="8:8" ht="15.75" customHeight="1" x14ac:dyDescent="0.2">
      <c r="H67" s="76"/>
    </row>
    <row r="68" spans="8:8" ht="15.75" customHeight="1" x14ac:dyDescent="0.2">
      <c r="H68" s="76"/>
    </row>
    <row r="69" spans="8:8" ht="15.75" customHeight="1" x14ac:dyDescent="0.2">
      <c r="H69" s="76"/>
    </row>
    <row r="70" spans="8:8" ht="15.75" customHeight="1" x14ac:dyDescent="0.2">
      <c r="H70" s="76"/>
    </row>
    <row r="71" spans="8:8" ht="15.75" customHeight="1" x14ac:dyDescent="0.2">
      <c r="H71" s="76"/>
    </row>
    <row r="72" spans="8:8" ht="15.75" customHeight="1" x14ac:dyDescent="0.2">
      <c r="H72" s="76"/>
    </row>
    <row r="73" spans="8:8" ht="15.75" customHeight="1" x14ac:dyDescent="0.2">
      <c r="H73" s="76"/>
    </row>
    <row r="74" spans="8:8" ht="15.75" customHeight="1" x14ac:dyDescent="0.2">
      <c r="H74" s="76"/>
    </row>
    <row r="75" spans="8:8" ht="15.75" customHeight="1" x14ac:dyDescent="0.2">
      <c r="H75" s="76"/>
    </row>
    <row r="76" spans="8:8" ht="15.75" customHeight="1" x14ac:dyDescent="0.2">
      <c r="H76" s="76"/>
    </row>
    <row r="77" spans="8:8" ht="15.75" customHeight="1" x14ac:dyDescent="0.2">
      <c r="H77" s="76"/>
    </row>
    <row r="78" spans="8:8" ht="15.75" customHeight="1" x14ac:dyDescent="0.2">
      <c r="H78" s="76"/>
    </row>
    <row r="79" spans="8:8" ht="15.75" customHeight="1" x14ac:dyDescent="0.2">
      <c r="H79" s="76"/>
    </row>
    <row r="80" spans="8:8" ht="15.75" customHeight="1" x14ac:dyDescent="0.2">
      <c r="H80" s="76"/>
    </row>
    <row r="81" spans="8:8" ht="15.75" customHeight="1" x14ac:dyDescent="0.2">
      <c r="H81" s="76"/>
    </row>
    <row r="82" spans="8:8" ht="15.75" customHeight="1" x14ac:dyDescent="0.2">
      <c r="H82" s="76"/>
    </row>
    <row r="83" spans="8:8" ht="15.75" customHeight="1" x14ac:dyDescent="0.2">
      <c r="H83" s="76"/>
    </row>
    <row r="84" spans="8:8" ht="15.75" customHeight="1" x14ac:dyDescent="0.2">
      <c r="H84" s="76"/>
    </row>
    <row r="85" spans="8:8" ht="15.75" customHeight="1" x14ac:dyDescent="0.2">
      <c r="H85" s="76"/>
    </row>
    <row r="86" spans="8:8" ht="15.75" customHeight="1" x14ac:dyDescent="0.2">
      <c r="H86" s="76"/>
    </row>
    <row r="87" spans="8:8" ht="15.75" customHeight="1" x14ac:dyDescent="0.2">
      <c r="H87" s="76"/>
    </row>
    <row r="88" spans="8:8" ht="15.75" customHeight="1" x14ac:dyDescent="0.2">
      <c r="H88" s="76"/>
    </row>
    <row r="89" spans="8:8" ht="15.75" customHeight="1" x14ac:dyDescent="0.2">
      <c r="H89" s="76"/>
    </row>
    <row r="90" spans="8:8" ht="15.75" customHeight="1" x14ac:dyDescent="0.2">
      <c r="H90" s="76"/>
    </row>
    <row r="91" spans="8:8" ht="15.75" customHeight="1" x14ac:dyDescent="0.2">
      <c r="H91" s="76"/>
    </row>
    <row r="92" spans="8:8" ht="15.75" customHeight="1" x14ac:dyDescent="0.2">
      <c r="H92" s="76"/>
    </row>
    <row r="93" spans="8:8" ht="15.75" customHeight="1" x14ac:dyDescent="0.2">
      <c r="H93" s="76"/>
    </row>
    <row r="94" spans="8:8" ht="15.75" customHeight="1" x14ac:dyDescent="0.2">
      <c r="H94" s="76"/>
    </row>
    <row r="95" spans="8:8" ht="15.75" customHeight="1" x14ac:dyDescent="0.2">
      <c r="H95" s="76"/>
    </row>
    <row r="96" spans="8:8" ht="15.75" customHeight="1" x14ac:dyDescent="0.2">
      <c r="H96" s="76"/>
    </row>
    <row r="97" spans="8:8" ht="15.75" customHeight="1" x14ac:dyDescent="0.2">
      <c r="H97" s="76"/>
    </row>
    <row r="98" spans="8:8" ht="15.75" customHeight="1" x14ac:dyDescent="0.2">
      <c r="H98" s="76"/>
    </row>
    <row r="99" spans="8:8" ht="15.75" customHeight="1" x14ac:dyDescent="0.2">
      <c r="H99" s="76"/>
    </row>
    <row r="100" spans="8:8" ht="15.75" customHeight="1" x14ac:dyDescent="0.2">
      <c r="H100" s="76"/>
    </row>
    <row r="101" spans="8:8" ht="15.75" customHeight="1" x14ac:dyDescent="0.2">
      <c r="H101" s="76"/>
    </row>
    <row r="102" spans="8:8" ht="15.75" customHeight="1" x14ac:dyDescent="0.2">
      <c r="H102" s="76"/>
    </row>
    <row r="103" spans="8:8" ht="15.75" customHeight="1" x14ac:dyDescent="0.2">
      <c r="H103" s="76"/>
    </row>
    <row r="104" spans="8:8" ht="15.75" customHeight="1" x14ac:dyDescent="0.2">
      <c r="H104" s="76"/>
    </row>
    <row r="105" spans="8:8" ht="15.75" customHeight="1" x14ac:dyDescent="0.2">
      <c r="H105" s="76"/>
    </row>
    <row r="106" spans="8:8" ht="15.75" customHeight="1" x14ac:dyDescent="0.2">
      <c r="H106" s="76"/>
    </row>
    <row r="107" spans="8:8" ht="15.75" customHeight="1" x14ac:dyDescent="0.2">
      <c r="H107" s="76"/>
    </row>
    <row r="108" spans="8:8" ht="15.75" customHeight="1" x14ac:dyDescent="0.2">
      <c r="H108" s="76"/>
    </row>
    <row r="109" spans="8:8" ht="15.75" customHeight="1" x14ac:dyDescent="0.2">
      <c r="H109" s="76"/>
    </row>
    <row r="110" spans="8:8" ht="15.75" customHeight="1" x14ac:dyDescent="0.2">
      <c r="H110" s="76"/>
    </row>
    <row r="111" spans="8:8" ht="15.75" customHeight="1" x14ac:dyDescent="0.2">
      <c r="H111" s="76"/>
    </row>
    <row r="112" spans="8:8" ht="15.75" customHeight="1" x14ac:dyDescent="0.2">
      <c r="H112" s="76"/>
    </row>
    <row r="113" spans="8:8" ht="15.75" customHeight="1" x14ac:dyDescent="0.2">
      <c r="H113" s="76"/>
    </row>
    <row r="114" spans="8:8" ht="15.75" customHeight="1" x14ac:dyDescent="0.2">
      <c r="H114" s="76"/>
    </row>
    <row r="115" spans="8:8" ht="15.75" customHeight="1" x14ac:dyDescent="0.2">
      <c r="H115" s="76"/>
    </row>
    <row r="116" spans="8:8" ht="15.75" customHeight="1" x14ac:dyDescent="0.2">
      <c r="H116" s="76"/>
    </row>
    <row r="117" spans="8:8" ht="15.75" customHeight="1" x14ac:dyDescent="0.2">
      <c r="H117" s="76"/>
    </row>
    <row r="118" spans="8:8" ht="15.75" customHeight="1" x14ac:dyDescent="0.2">
      <c r="H118" s="76"/>
    </row>
    <row r="119" spans="8:8" ht="15.75" customHeight="1" x14ac:dyDescent="0.2">
      <c r="H119" s="76"/>
    </row>
    <row r="120" spans="8:8" ht="15.75" customHeight="1" x14ac:dyDescent="0.2">
      <c r="H120" s="76"/>
    </row>
    <row r="121" spans="8:8" ht="15.75" customHeight="1" x14ac:dyDescent="0.2">
      <c r="H121" s="76"/>
    </row>
    <row r="122" spans="8:8" ht="15.75" customHeight="1" x14ac:dyDescent="0.2">
      <c r="H122" s="76"/>
    </row>
    <row r="123" spans="8:8" ht="15.75" customHeight="1" x14ac:dyDescent="0.2">
      <c r="H123" s="76"/>
    </row>
    <row r="124" spans="8:8" ht="15.75" customHeight="1" x14ac:dyDescent="0.2">
      <c r="H124" s="76"/>
    </row>
    <row r="125" spans="8:8" ht="15.75" customHeight="1" x14ac:dyDescent="0.2">
      <c r="H125" s="76"/>
    </row>
    <row r="126" spans="8:8" ht="15.75" customHeight="1" x14ac:dyDescent="0.2">
      <c r="H126" s="76"/>
    </row>
    <row r="127" spans="8:8" ht="15.75" customHeight="1" x14ac:dyDescent="0.2">
      <c r="H127" s="76"/>
    </row>
    <row r="128" spans="8:8" ht="15.75" customHeight="1" x14ac:dyDescent="0.2">
      <c r="H128" s="76"/>
    </row>
    <row r="129" spans="8:8" ht="15.75" customHeight="1" x14ac:dyDescent="0.2">
      <c r="H129" s="76"/>
    </row>
    <row r="130" spans="8:8" ht="15.75" customHeight="1" x14ac:dyDescent="0.2">
      <c r="H130" s="76"/>
    </row>
    <row r="131" spans="8:8" ht="15.75" customHeight="1" x14ac:dyDescent="0.2">
      <c r="H131" s="76"/>
    </row>
    <row r="132" spans="8:8" ht="15.75" customHeight="1" x14ac:dyDescent="0.2">
      <c r="H132" s="76"/>
    </row>
    <row r="133" spans="8:8" ht="15.75" customHeight="1" x14ac:dyDescent="0.2">
      <c r="H133" s="76"/>
    </row>
    <row r="134" spans="8:8" ht="15.75" customHeight="1" x14ac:dyDescent="0.2">
      <c r="H134" s="76"/>
    </row>
    <row r="135" spans="8:8" ht="15.75" customHeight="1" x14ac:dyDescent="0.2">
      <c r="H135" s="76"/>
    </row>
    <row r="136" spans="8:8" ht="15.75" customHeight="1" x14ac:dyDescent="0.2">
      <c r="H136" s="76"/>
    </row>
    <row r="137" spans="8:8" ht="15.75" customHeight="1" x14ac:dyDescent="0.2">
      <c r="H137" s="76"/>
    </row>
    <row r="138" spans="8:8" ht="15.75" customHeight="1" x14ac:dyDescent="0.2">
      <c r="H138" s="76"/>
    </row>
    <row r="139" spans="8:8" ht="15.75" customHeight="1" x14ac:dyDescent="0.2">
      <c r="H139" s="76"/>
    </row>
    <row r="140" spans="8:8" ht="15.75" customHeight="1" x14ac:dyDescent="0.2">
      <c r="H140" s="76"/>
    </row>
    <row r="141" spans="8:8" ht="15.75" customHeight="1" x14ac:dyDescent="0.2">
      <c r="H141" s="76"/>
    </row>
    <row r="142" spans="8:8" ht="15.75" customHeight="1" x14ac:dyDescent="0.2">
      <c r="H142" s="76"/>
    </row>
    <row r="143" spans="8:8" ht="15.75" customHeight="1" x14ac:dyDescent="0.2">
      <c r="H143" s="76"/>
    </row>
    <row r="144" spans="8:8" ht="15.75" customHeight="1" x14ac:dyDescent="0.2">
      <c r="H144" s="76"/>
    </row>
    <row r="145" spans="8:8" ht="15.75" customHeight="1" x14ac:dyDescent="0.2">
      <c r="H145" s="76"/>
    </row>
    <row r="146" spans="8:8" ht="15.75" customHeight="1" x14ac:dyDescent="0.2">
      <c r="H146" s="76"/>
    </row>
    <row r="147" spans="8:8" ht="15.75" customHeight="1" x14ac:dyDescent="0.2">
      <c r="H147" s="76"/>
    </row>
    <row r="148" spans="8:8" ht="15.75" customHeight="1" x14ac:dyDescent="0.2">
      <c r="H148" s="76"/>
    </row>
    <row r="149" spans="8:8" ht="15.75" customHeight="1" x14ac:dyDescent="0.2">
      <c r="H149" s="76"/>
    </row>
    <row r="150" spans="8:8" ht="15.75" customHeight="1" x14ac:dyDescent="0.2">
      <c r="H150" s="76"/>
    </row>
    <row r="151" spans="8:8" ht="15.75" customHeight="1" x14ac:dyDescent="0.2">
      <c r="H151" s="76"/>
    </row>
    <row r="152" spans="8:8" ht="15.75" customHeight="1" x14ac:dyDescent="0.2">
      <c r="H152" s="76"/>
    </row>
    <row r="153" spans="8:8" ht="15.75" customHeight="1" x14ac:dyDescent="0.2">
      <c r="H153" s="76"/>
    </row>
    <row r="154" spans="8:8" ht="15.75" customHeight="1" x14ac:dyDescent="0.2">
      <c r="H154" s="76"/>
    </row>
    <row r="155" spans="8:8" ht="15.75" customHeight="1" x14ac:dyDescent="0.2">
      <c r="H155" s="76"/>
    </row>
    <row r="156" spans="8:8" ht="15.75" customHeight="1" x14ac:dyDescent="0.2">
      <c r="H156" s="76"/>
    </row>
    <row r="157" spans="8:8" ht="15.75" customHeight="1" x14ac:dyDescent="0.2">
      <c r="H157" s="76"/>
    </row>
    <row r="158" spans="8:8" ht="15.75" customHeight="1" x14ac:dyDescent="0.2">
      <c r="H158" s="76"/>
    </row>
    <row r="159" spans="8:8" ht="15.75" customHeight="1" x14ac:dyDescent="0.2">
      <c r="H159" s="76"/>
    </row>
    <row r="160" spans="8:8" ht="15.75" customHeight="1" x14ac:dyDescent="0.2">
      <c r="H160" s="76"/>
    </row>
    <row r="161" spans="8:8" ht="15.75" customHeight="1" x14ac:dyDescent="0.2">
      <c r="H161" s="76"/>
    </row>
    <row r="162" spans="8:8" ht="15.75" customHeight="1" x14ac:dyDescent="0.2">
      <c r="H162" s="76"/>
    </row>
    <row r="163" spans="8:8" ht="15.75" customHeight="1" x14ac:dyDescent="0.2">
      <c r="H163" s="76"/>
    </row>
    <row r="164" spans="8:8" ht="15.75" customHeight="1" x14ac:dyDescent="0.2">
      <c r="H164" s="76"/>
    </row>
    <row r="165" spans="8:8" ht="15.75" customHeight="1" x14ac:dyDescent="0.2">
      <c r="H165" s="76"/>
    </row>
    <row r="166" spans="8:8" ht="15.75" customHeight="1" x14ac:dyDescent="0.2">
      <c r="H166" s="76"/>
    </row>
    <row r="167" spans="8:8" ht="15.75" customHeight="1" x14ac:dyDescent="0.2">
      <c r="H167" s="76"/>
    </row>
    <row r="168" spans="8:8" ht="15.75" customHeight="1" x14ac:dyDescent="0.2">
      <c r="H168" s="76"/>
    </row>
    <row r="169" spans="8:8" ht="15.75" customHeight="1" x14ac:dyDescent="0.2">
      <c r="H169" s="76"/>
    </row>
    <row r="170" spans="8:8" ht="15.75" customHeight="1" x14ac:dyDescent="0.2">
      <c r="H170" s="76"/>
    </row>
    <row r="171" spans="8:8" ht="15.75" customHeight="1" x14ac:dyDescent="0.2">
      <c r="H171" s="76"/>
    </row>
    <row r="172" spans="8:8" ht="15.75" customHeight="1" x14ac:dyDescent="0.2">
      <c r="H172" s="76"/>
    </row>
    <row r="173" spans="8:8" ht="15.75" customHeight="1" x14ac:dyDescent="0.2">
      <c r="H173" s="76"/>
    </row>
    <row r="174" spans="8:8" ht="15.75" customHeight="1" x14ac:dyDescent="0.2">
      <c r="H174" s="76"/>
    </row>
    <row r="175" spans="8:8" ht="15.75" customHeight="1" x14ac:dyDescent="0.2">
      <c r="H175" s="76"/>
    </row>
    <row r="176" spans="8:8" ht="15.75" customHeight="1" x14ac:dyDescent="0.2">
      <c r="H176" s="76"/>
    </row>
    <row r="177" spans="8:8" ht="15.75" customHeight="1" x14ac:dyDescent="0.2">
      <c r="H177" s="76"/>
    </row>
    <row r="178" spans="8:8" ht="15.75" customHeight="1" x14ac:dyDescent="0.2">
      <c r="H178" s="76"/>
    </row>
    <row r="179" spans="8:8" ht="15.75" customHeight="1" x14ac:dyDescent="0.2">
      <c r="H179" s="76"/>
    </row>
    <row r="180" spans="8:8" ht="15.75" customHeight="1" x14ac:dyDescent="0.2">
      <c r="H180" s="76"/>
    </row>
    <row r="181" spans="8:8" ht="15.75" customHeight="1" x14ac:dyDescent="0.2">
      <c r="H181" s="76"/>
    </row>
    <row r="182" spans="8:8" ht="15.75" customHeight="1" x14ac:dyDescent="0.2">
      <c r="H182" s="76"/>
    </row>
    <row r="183" spans="8:8" ht="15.75" customHeight="1" x14ac:dyDescent="0.2">
      <c r="H183" s="76"/>
    </row>
    <row r="184" spans="8:8" ht="15.75" customHeight="1" x14ac:dyDescent="0.2">
      <c r="H184" s="76"/>
    </row>
    <row r="185" spans="8:8" ht="15.75" customHeight="1" x14ac:dyDescent="0.2">
      <c r="H185" s="76"/>
    </row>
    <row r="186" spans="8:8" ht="15.75" customHeight="1" x14ac:dyDescent="0.2">
      <c r="H186" s="76"/>
    </row>
    <row r="187" spans="8:8" ht="15.75" customHeight="1" x14ac:dyDescent="0.2">
      <c r="H187" s="76"/>
    </row>
    <row r="188" spans="8:8" ht="15.75" customHeight="1" x14ac:dyDescent="0.2">
      <c r="H188" s="76"/>
    </row>
    <row r="189" spans="8:8" ht="15.75" customHeight="1" x14ac:dyDescent="0.2">
      <c r="H189" s="76"/>
    </row>
    <row r="190" spans="8:8" ht="15.75" customHeight="1" x14ac:dyDescent="0.2">
      <c r="H190" s="76"/>
    </row>
    <row r="191" spans="8:8" ht="15.75" customHeight="1" x14ac:dyDescent="0.2">
      <c r="H191" s="76"/>
    </row>
    <row r="192" spans="8:8" ht="15.75" customHeight="1" x14ac:dyDescent="0.2">
      <c r="H192" s="76"/>
    </row>
    <row r="193" spans="8:8" ht="15.75" customHeight="1" x14ac:dyDescent="0.2">
      <c r="H193" s="76"/>
    </row>
    <row r="194" spans="8:8" ht="15.75" customHeight="1" x14ac:dyDescent="0.2">
      <c r="H194" s="76"/>
    </row>
    <row r="195" spans="8:8" ht="15.75" customHeight="1" x14ac:dyDescent="0.2">
      <c r="H195" s="76"/>
    </row>
    <row r="196" spans="8:8" ht="15.75" customHeight="1" x14ac:dyDescent="0.2">
      <c r="H196" s="76"/>
    </row>
    <row r="197" spans="8:8" ht="15.75" customHeight="1" x14ac:dyDescent="0.2">
      <c r="H197" s="76"/>
    </row>
    <row r="198" spans="8:8" ht="15.75" customHeight="1" x14ac:dyDescent="0.2">
      <c r="H198" s="76"/>
    </row>
    <row r="199" spans="8:8" ht="15.75" customHeight="1" x14ac:dyDescent="0.2">
      <c r="H199" s="76"/>
    </row>
    <row r="200" spans="8:8" ht="15.75" customHeight="1" x14ac:dyDescent="0.2">
      <c r="H200" s="76"/>
    </row>
    <row r="201" spans="8:8" ht="15.75" customHeight="1" x14ac:dyDescent="0.2">
      <c r="H201" s="76"/>
    </row>
    <row r="202" spans="8:8" ht="15.75" customHeight="1" x14ac:dyDescent="0.2">
      <c r="H202" s="76"/>
    </row>
    <row r="203" spans="8:8" ht="15.75" customHeight="1" x14ac:dyDescent="0.2">
      <c r="H203" s="76"/>
    </row>
    <row r="204" spans="8:8" ht="15.75" customHeight="1" x14ac:dyDescent="0.2">
      <c r="H204" s="76"/>
    </row>
    <row r="205" spans="8:8" ht="15.75" customHeight="1" x14ac:dyDescent="0.2">
      <c r="H205" s="76"/>
    </row>
    <row r="206" spans="8:8" ht="15.75" customHeight="1" x14ac:dyDescent="0.2">
      <c r="H206" s="76"/>
    </row>
    <row r="207" spans="8:8" ht="15.75" customHeight="1" x14ac:dyDescent="0.2">
      <c r="H207" s="76"/>
    </row>
    <row r="208" spans="8:8" ht="15.75" customHeight="1" x14ac:dyDescent="0.2">
      <c r="H208" s="76"/>
    </row>
    <row r="209" spans="8:8" ht="15.75" customHeight="1" x14ac:dyDescent="0.2">
      <c r="H209" s="76"/>
    </row>
    <row r="210" spans="8:8" ht="15.75" customHeight="1" x14ac:dyDescent="0.2">
      <c r="H210" s="76"/>
    </row>
    <row r="211" spans="8:8" ht="15.75" customHeight="1" x14ac:dyDescent="0.2">
      <c r="H211" s="76"/>
    </row>
    <row r="212" spans="8:8" ht="15.75" customHeight="1" x14ac:dyDescent="0.2">
      <c r="H212" s="76"/>
    </row>
    <row r="213" spans="8:8" ht="15.75" customHeight="1" x14ac:dyDescent="0.2">
      <c r="H213" s="76"/>
    </row>
    <row r="214" spans="8:8" ht="15.75" customHeight="1" x14ac:dyDescent="0.2">
      <c r="H214" s="76"/>
    </row>
    <row r="215" spans="8:8" ht="15.75" customHeight="1" x14ac:dyDescent="0.2">
      <c r="H215" s="76"/>
    </row>
    <row r="216" spans="8:8" ht="15.75" customHeight="1" x14ac:dyDescent="0.2">
      <c r="H216" s="76"/>
    </row>
    <row r="217" spans="8:8" ht="15.75" customHeight="1" x14ac:dyDescent="0.2">
      <c r="H217" s="76"/>
    </row>
    <row r="218" spans="8:8" ht="15.75" customHeight="1" x14ac:dyDescent="0.2">
      <c r="H218" s="76"/>
    </row>
    <row r="219" spans="8:8" ht="15.75" customHeight="1" x14ac:dyDescent="0.2">
      <c r="H219" s="76"/>
    </row>
    <row r="220" spans="8:8" ht="15.75" customHeight="1" x14ac:dyDescent="0.2">
      <c r="H220" s="76"/>
    </row>
    <row r="221" spans="8:8" ht="15.75" customHeight="1" x14ac:dyDescent="0.2">
      <c r="H221" s="76"/>
    </row>
    <row r="222" spans="8:8" ht="15.75" customHeight="1" x14ac:dyDescent="0.2">
      <c r="H222" s="76"/>
    </row>
    <row r="223" spans="8:8" ht="15.75" customHeight="1" x14ac:dyDescent="0.2">
      <c r="H223" s="76"/>
    </row>
    <row r="224" spans="8:8" ht="15.75" customHeight="1" x14ac:dyDescent="0.2">
      <c r="H224" s="76"/>
    </row>
    <row r="225" spans="8:8" ht="15.75" customHeight="1" x14ac:dyDescent="0.2">
      <c r="H225" s="76"/>
    </row>
    <row r="226" spans="8:8" ht="15.75" customHeight="1" x14ac:dyDescent="0.2">
      <c r="H226" s="76"/>
    </row>
    <row r="227" spans="8:8" ht="15.75" customHeight="1" x14ac:dyDescent="0.2">
      <c r="H227" s="76"/>
    </row>
    <row r="228" spans="8:8" ht="15.75" customHeight="1" x14ac:dyDescent="0.2">
      <c r="H228" s="76"/>
    </row>
    <row r="229" spans="8:8" ht="15.75" customHeight="1" x14ac:dyDescent="0.2">
      <c r="H229" s="76"/>
    </row>
    <row r="230" spans="8:8" ht="15.75" customHeight="1" x14ac:dyDescent="0.2">
      <c r="H230" s="76"/>
    </row>
    <row r="231" spans="8:8" ht="15.75" customHeight="1" x14ac:dyDescent="0.2">
      <c r="H231" s="76"/>
    </row>
    <row r="232" spans="8:8" ht="15.75" customHeight="1" x14ac:dyDescent="0.2">
      <c r="H232" s="76"/>
    </row>
    <row r="233" spans="8:8" ht="15.75" customHeight="1" x14ac:dyDescent="0.2">
      <c r="H233" s="76"/>
    </row>
    <row r="234" spans="8:8" ht="15.75" customHeight="1" x14ac:dyDescent="0.2">
      <c r="H234" s="76"/>
    </row>
    <row r="235" spans="8:8" ht="15.75" customHeight="1" x14ac:dyDescent="0.2">
      <c r="H235" s="76"/>
    </row>
    <row r="236" spans="8:8" ht="15.75" customHeight="1" x14ac:dyDescent="0.2">
      <c r="H236" s="76"/>
    </row>
    <row r="237" spans="8:8" ht="15.75" customHeight="1" x14ac:dyDescent="0.2">
      <c r="H237" s="76"/>
    </row>
    <row r="238" spans="8:8" ht="15.75" customHeight="1" x14ac:dyDescent="0.2">
      <c r="H238" s="76"/>
    </row>
    <row r="239" spans="8:8" ht="15.75" customHeight="1" x14ac:dyDescent="0.2">
      <c r="H239" s="76"/>
    </row>
    <row r="240" spans="8:8" ht="15.75" customHeight="1" x14ac:dyDescent="0.2">
      <c r="H240" s="76"/>
    </row>
    <row r="241" spans="8:8" ht="15.75" customHeight="1" x14ac:dyDescent="0.2">
      <c r="H241" s="76"/>
    </row>
    <row r="242" spans="8:8" ht="15.75" customHeight="1" x14ac:dyDescent="0.2">
      <c r="H242" s="76"/>
    </row>
    <row r="243" spans="8:8" ht="15.75" customHeight="1" x14ac:dyDescent="0.2">
      <c r="H243" s="76"/>
    </row>
    <row r="244" spans="8:8" ht="15.75" customHeight="1" x14ac:dyDescent="0.2">
      <c r="H244" s="76"/>
    </row>
    <row r="245" spans="8:8" ht="15.75" customHeight="1" x14ac:dyDescent="0.2">
      <c r="H245" s="76"/>
    </row>
    <row r="246" spans="8:8" ht="15.75" customHeight="1" x14ac:dyDescent="0.2">
      <c r="H246" s="76"/>
    </row>
    <row r="247" spans="8:8" ht="15.75" customHeight="1" x14ac:dyDescent="0.2">
      <c r="H247" s="76"/>
    </row>
    <row r="248" spans="8:8" ht="15.75" customHeight="1" x14ac:dyDescent="0.2">
      <c r="H248" s="76"/>
    </row>
    <row r="249" spans="8:8" ht="15.75" customHeight="1" x14ac:dyDescent="0.2">
      <c r="H249" s="76"/>
    </row>
    <row r="250" spans="8:8" ht="15.75" customHeight="1" x14ac:dyDescent="0.2">
      <c r="H250" s="76"/>
    </row>
    <row r="251" spans="8:8" ht="15.75" customHeight="1" x14ac:dyDescent="0.2">
      <c r="H251" s="76"/>
    </row>
    <row r="252" spans="8:8" ht="15.75" customHeight="1" x14ac:dyDescent="0.2">
      <c r="H252" s="76"/>
    </row>
    <row r="253" spans="8:8" ht="15.75" customHeight="1" x14ac:dyDescent="0.2">
      <c r="H253" s="76"/>
    </row>
    <row r="254" spans="8:8" ht="15.75" customHeight="1" x14ac:dyDescent="0.2">
      <c r="H254" s="76"/>
    </row>
    <row r="255" spans="8:8" ht="15.75" customHeight="1" x14ac:dyDescent="0.2">
      <c r="H255" s="76"/>
    </row>
    <row r="256" spans="8:8" ht="15.75" customHeight="1" x14ac:dyDescent="0.2">
      <c r="H256" s="76"/>
    </row>
    <row r="257" spans="8:8" ht="15.75" customHeight="1" x14ac:dyDescent="0.2">
      <c r="H257" s="76"/>
    </row>
    <row r="258" spans="8:8" ht="15.75" customHeight="1" x14ac:dyDescent="0.2">
      <c r="H258" s="76"/>
    </row>
    <row r="259" spans="8:8" ht="15.75" customHeight="1" x14ac:dyDescent="0.2">
      <c r="H259" s="76"/>
    </row>
    <row r="260" spans="8:8" ht="15.75" customHeight="1" x14ac:dyDescent="0.2">
      <c r="H260" s="76"/>
    </row>
    <row r="261" spans="8:8" ht="15.75" customHeight="1" x14ac:dyDescent="0.2">
      <c r="H261" s="76"/>
    </row>
    <row r="262" spans="8:8" ht="15.75" customHeight="1" x14ac:dyDescent="0.2">
      <c r="H262" s="76"/>
    </row>
    <row r="263" spans="8:8" ht="15.75" customHeight="1" x14ac:dyDescent="0.2">
      <c r="H263" s="76"/>
    </row>
    <row r="264" spans="8:8" ht="15.75" customHeight="1" x14ac:dyDescent="0.2">
      <c r="H264" s="76"/>
    </row>
    <row r="265" spans="8:8" ht="15.75" customHeight="1" x14ac:dyDescent="0.2">
      <c r="H265" s="76"/>
    </row>
    <row r="266" spans="8:8" ht="15.75" customHeight="1" x14ac:dyDescent="0.2">
      <c r="H266" s="76"/>
    </row>
    <row r="267" spans="8:8" ht="15.75" customHeight="1" x14ac:dyDescent="0.2">
      <c r="H267" s="76"/>
    </row>
    <row r="268" spans="8:8" ht="15.75" customHeight="1" x14ac:dyDescent="0.2">
      <c r="H268" s="76"/>
    </row>
    <row r="269" spans="8:8" ht="15.75" customHeight="1" x14ac:dyDescent="0.2">
      <c r="H269" s="76"/>
    </row>
    <row r="270" spans="8:8" ht="15.75" customHeight="1" x14ac:dyDescent="0.2">
      <c r="H270" s="76"/>
    </row>
    <row r="271" spans="8:8" ht="15.75" customHeight="1" x14ac:dyDescent="0.2">
      <c r="H271" s="76"/>
    </row>
    <row r="272" spans="8:8" ht="15.75" customHeight="1" x14ac:dyDescent="0.2">
      <c r="H272" s="76"/>
    </row>
    <row r="273" spans="8:8" ht="15.75" customHeight="1" x14ac:dyDescent="0.2">
      <c r="H273" s="76"/>
    </row>
    <row r="274" spans="8:8" ht="15.75" customHeight="1" x14ac:dyDescent="0.2">
      <c r="H274" s="76"/>
    </row>
    <row r="275" spans="8:8" ht="15.75" customHeight="1" x14ac:dyDescent="0.2">
      <c r="H275" s="76"/>
    </row>
    <row r="276" spans="8:8" ht="15.75" customHeight="1" x14ac:dyDescent="0.2">
      <c r="H276" s="76"/>
    </row>
    <row r="277" spans="8:8" ht="15.75" customHeight="1" x14ac:dyDescent="0.2">
      <c r="H277" s="76"/>
    </row>
    <row r="278" spans="8:8" ht="15.75" customHeight="1" x14ac:dyDescent="0.2">
      <c r="H278" s="76"/>
    </row>
    <row r="279" spans="8:8" ht="15.75" customHeight="1" x14ac:dyDescent="0.2">
      <c r="H279" s="76"/>
    </row>
    <row r="280" spans="8:8" ht="15.75" customHeight="1" x14ac:dyDescent="0.2">
      <c r="H280" s="76"/>
    </row>
    <row r="281" spans="8:8" ht="15.75" customHeight="1" x14ac:dyDescent="0.2">
      <c r="H281" s="76"/>
    </row>
    <row r="282" spans="8:8" ht="15.75" customHeight="1" x14ac:dyDescent="0.2">
      <c r="H282" s="76"/>
    </row>
    <row r="283" spans="8:8" ht="15.75" customHeight="1" x14ac:dyDescent="0.2">
      <c r="H283" s="76"/>
    </row>
    <row r="284" spans="8:8" ht="15.75" customHeight="1" x14ac:dyDescent="0.2">
      <c r="H284" s="76"/>
    </row>
    <row r="285" spans="8:8" ht="15.75" customHeight="1" x14ac:dyDescent="0.2">
      <c r="H285" s="76"/>
    </row>
    <row r="286" spans="8:8" ht="15.75" customHeight="1" x14ac:dyDescent="0.2">
      <c r="H286" s="76"/>
    </row>
    <row r="287" spans="8:8" ht="15.75" customHeight="1" x14ac:dyDescent="0.2">
      <c r="H287" s="76"/>
    </row>
    <row r="288" spans="8:8" ht="15.75" customHeight="1" x14ac:dyDescent="0.2">
      <c r="H288" s="76"/>
    </row>
    <row r="289" spans="8:8" ht="15.75" customHeight="1" x14ac:dyDescent="0.2">
      <c r="H289" s="76"/>
    </row>
    <row r="290" spans="8:8" ht="15.75" customHeight="1" x14ac:dyDescent="0.2">
      <c r="H290" s="76"/>
    </row>
    <row r="291" spans="8:8" ht="15.75" customHeight="1" x14ac:dyDescent="0.2">
      <c r="H291" s="76"/>
    </row>
    <row r="292" spans="8:8" ht="15.75" customHeight="1" x14ac:dyDescent="0.2">
      <c r="H292" s="76"/>
    </row>
    <row r="293" spans="8:8" ht="15.75" customHeight="1" x14ac:dyDescent="0.2">
      <c r="H293" s="76"/>
    </row>
    <row r="294" spans="8:8" ht="15.75" customHeight="1" x14ac:dyDescent="0.2">
      <c r="H294" s="76"/>
    </row>
    <row r="295" spans="8:8" ht="15.75" customHeight="1" x14ac:dyDescent="0.2">
      <c r="H295" s="76"/>
    </row>
    <row r="296" spans="8:8" ht="15.75" customHeight="1" x14ac:dyDescent="0.2">
      <c r="H296" s="76"/>
    </row>
    <row r="297" spans="8:8" ht="15.75" customHeight="1" x14ac:dyDescent="0.2">
      <c r="H297" s="76"/>
    </row>
    <row r="298" spans="8:8" ht="15.75" customHeight="1" x14ac:dyDescent="0.2">
      <c r="H298" s="76"/>
    </row>
    <row r="299" spans="8:8" ht="15.75" customHeight="1" x14ac:dyDescent="0.2">
      <c r="H299" s="76"/>
    </row>
    <row r="300" spans="8:8" ht="15.75" customHeight="1" x14ac:dyDescent="0.2">
      <c r="H300" s="76"/>
    </row>
    <row r="301" spans="8:8" ht="15.75" customHeight="1" x14ac:dyDescent="0.2">
      <c r="H301" s="76"/>
    </row>
    <row r="302" spans="8:8" ht="15.75" customHeight="1" x14ac:dyDescent="0.2">
      <c r="H302" s="76"/>
    </row>
    <row r="303" spans="8:8" ht="15.75" customHeight="1" x14ac:dyDescent="0.2">
      <c r="H303" s="76"/>
    </row>
    <row r="304" spans="8:8" ht="15.75" customHeight="1" x14ac:dyDescent="0.2">
      <c r="H304" s="76"/>
    </row>
    <row r="305" spans="8:8" ht="15.75" customHeight="1" x14ac:dyDescent="0.2">
      <c r="H305" s="76"/>
    </row>
    <row r="306" spans="8:8" ht="15.75" customHeight="1" x14ac:dyDescent="0.2">
      <c r="H306" s="76"/>
    </row>
    <row r="307" spans="8:8" ht="15.75" customHeight="1" x14ac:dyDescent="0.2">
      <c r="H307" s="76"/>
    </row>
    <row r="308" spans="8:8" ht="15.75" customHeight="1" x14ac:dyDescent="0.2">
      <c r="H308" s="76"/>
    </row>
    <row r="309" spans="8:8" ht="15.75" customHeight="1" x14ac:dyDescent="0.2">
      <c r="H309" s="76"/>
    </row>
    <row r="310" spans="8:8" ht="15.75" customHeight="1" x14ac:dyDescent="0.2">
      <c r="H310" s="76"/>
    </row>
    <row r="311" spans="8:8" ht="15.75" customHeight="1" x14ac:dyDescent="0.2">
      <c r="H311" s="76"/>
    </row>
    <row r="312" spans="8:8" ht="15.75" customHeight="1" x14ac:dyDescent="0.2">
      <c r="H312" s="76"/>
    </row>
    <row r="313" spans="8:8" ht="15.75" customHeight="1" x14ac:dyDescent="0.2">
      <c r="H313" s="76"/>
    </row>
    <row r="314" spans="8:8" ht="15.75" customHeight="1" x14ac:dyDescent="0.2">
      <c r="H314" s="76"/>
    </row>
    <row r="315" spans="8:8" ht="15.75" customHeight="1" x14ac:dyDescent="0.2">
      <c r="H315" s="76"/>
    </row>
    <row r="316" spans="8:8" ht="15.75" customHeight="1" x14ac:dyDescent="0.2">
      <c r="H316" s="76"/>
    </row>
    <row r="317" spans="8:8" ht="15.75" customHeight="1" x14ac:dyDescent="0.2">
      <c r="H317" s="76"/>
    </row>
    <row r="318" spans="8:8" ht="15.75" customHeight="1" x14ac:dyDescent="0.2">
      <c r="H318" s="76"/>
    </row>
    <row r="319" spans="8:8" ht="15.75" customHeight="1" x14ac:dyDescent="0.2">
      <c r="H319" s="76"/>
    </row>
    <row r="320" spans="8:8" ht="15.75" customHeight="1" x14ac:dyDescent="0.2">
      <c r="H320" s="76"/>
    </row>
    <row r="321" spans="8:8" ht="15.75" customHeight="1" x14ac:dyDescent="0.2">
      <c r="H321" s="76"/>
    </row>
    <row r="322" spans="8:8" ht="15.75" customHeight="1" x14ac:dyDescent="0.2">
      <c r="H322" s="76"/>
    </row>
    <row r="323" spans="8:8" ht="15.75" customHeight="1" x14ac:dyDescent="0.2">
      <c r="H323" s="76"/>
    </row>
    <row r="324" spans="8:8" ht="15.75" customHeight="1" x14ac:dyDescent="0.2">
      <c r="H324" s="76"/>
    </row>
    <row r="325" spans="8:8" ht="15.75" customHeight="1" x14ac:dyDescent="0.2">
      <c r="H325" s="76"/>
    </row>
    <row r="326" spans="8:8" ht="15.75" customHeight="1" x14ac:dyDescent="0.2">
      <c r="H326" s="76"/>
    </row>
    <row r="327" spans="8:8" ht="15.75" customHeight="1" x14ac:dyDescent="0.2">
      <c r="H327" s="76"/>
    </row>
    <row r="328" spans="8:8" ht="15.75" customHeight="1" x14ac:dyDescent="0.2">
      <c r="H328" s="76"/>
    </row>
    <row r="329" spans="8:8" ht="15.75" customHeight="1" x14ac:dyDescent="0.2">
      <c r="H329" s="76"/>
    </row>
    <row r="330" spans="8:8" ht="15.75" customHeight="1" x14ac:dyDescent="0.2">
      <c r="H330" s="76"/>
    </row>
    <row r="331" spans="8:8" ht="15.75" customHeight="1" x14ac:dyDescent="0.2">
      <c r="H331" s="76"/>
    </row>
    <row r="332" spans="8:8" ht="15.75" customHeight="1" x14ac:dyDescent="0.2">
      <c r="H332" s="76"/>
    </row>
    <row r="333" spans="8:8" ht="15.75" customHeight="1" x14ac:dyDescent="0.2">
      <c r="H333" s="76"/>
    </row>
    <row r="334" spans="8:8" ht="15.75" customHeight="1" x14ac:dyDescent="0.2">
      <c r="H334" s="76"/>
    </row>
    <row r="335" spans="8:8" ht="15.75" customHeight="1" x14ac:dyDescent="0.2">
      <c r="H335" s="76"/>
    </row>
    <row r="336" spans="8:8" ht="15.75" customHeight="1" x14ac:dyDescent="0.2">
      <c r="H336" s="76"/>
    </row>
    <row r="337" spans="8:8" ht="15.75" customHeight="1" x14ac:dyDescent="0.2">
      <c r="H337" s="76"/>
    </row>
    <row r="338" spans="8:8" ht="15.75" customHeight="1" x14ac:dyDescent="0.2">
      <c r="H338" s="76"/>
    </row>
    <row r="339" spans="8:8" ht="15.75" customHeight="1" x14ac:dyDescent="0.2">
      <c r="H339" s="76"/>
    </row>
    <row r="340" spans="8:8" ht="15.75" customHeight="1" x14ac:dyDescent="0.2">
      <c r="H340" s="76"/>
    </row>
    <row r="341" spans="8:8" ht="15.75" customHeight="1" x14ac:dyDescent="0.2">
      <c r="H341" s="76"/>
    </row>
    <row r="342" spans="8:8" ht="15.75" customHeight="1" x14ac:dyDescent="0.2">
      <c r="H342" s="76"/>
    </row>
    <row r="343" spans="8:8" ht="15.75" customHeight="1" x14ac:dyDescent="0.2">
      <c r="H343" s="76"/>
    </row>
    <row r="344" spans="8:8" ht="15.75" customHeight="1" x14ac:dyDescent="0.2">
      <c r="H344" s="76"/>
    </row>
    <row r="345" spans="8:8" ht="15.75" customHeight="1" x14ac:dyDescent="0.2">
      <c r="H345" s="76"/>
    </row>
    <row r="346" spans="8:8" ht="15.75" customHeight="1" x14ac:dyDescent="0.2">
      <c r="H346" s="76"/>
    </row>
    <row r="347" spans="8:8" ht="15.75" customHeight="1" x14ac:dyDescent="0.2">
      <c r="H347" s="76"/>
    </row>
    <row r="348" spans="8:8" ht="15.75" customHeight="1" x14ac:dyDescent="0.2">
      <c r="H348" s="76"/>
    </row>
    <row r="349" spans="8:8" ht="15.75" customHeight="1" x14ac:dyDescent="0.2">
      <c r="H349" s="76"/>
    </row>
    <row r="350" spans="8:8" ht="15.75" customHeight="1" x14ac:dyDescent="0.2">
      <c r="H350" s="76"/>
    </row>
    <row r="351" spans="8:8" ht="15.75" customHeight="1" x14ac:dyDescent="0.2">
      <c r="H351" s="76"/>
    </row>
    <row r="352" spans="8:8" ht="15.75" customHeight="1" x14ac:dyDescent="0.2">
      <c r="H352" s="76"/>
    </row>
    <row r="353" spans="8:8" ht="15.75" customHeight="1" x14ac:dyDescent="0.2">
      <c r="H353" s="76"/>
    </row>
    <row r="354" spans="8:8" ht="15.75" customHeight="1" x14ac:dyDescent="0.2">
      <c r="H354" s="76"/>
    </row>
    <row r="355" spans="8:8" ht="15.75" customHeight="1" x14ac:dyDescent="0.2">
      <c r="H355" s="76"/>
    </row>
    <row r="356" spans="8:8" ht="15.75" customHeight="1" x14ac:dyDescent="0.2">
      <c r="H356" s="76"/>
    </row>
    <row r="357" spans="8:8" ht="15.75" customHeight="1" x14ac:dyDescent="0.2">
      <c r="H357" s="76"/>
    </row>
    <row r="358" spans="8:8" ht="15.75" customHeight="1" x14ac:dyDescent="0.2">
      <c r="H358" s="76"/>
    </row>
    <row r="359" spans="8:8" ht="15.75" customHeight="1" x14ac:dyDescent="0.2">
      <c r="H359" s="76"/>
    </row>
    <row r="360" spans="8:8" ht="15.75" customHeight="1" x14ac:dyDescent="0.2">
      <c r="H360" s="76"/>
    </row>
    <row r="361" spans="8:8" ht="15.75" customHeight="1" x14ac:dyDescent="0.2">
      <c r="H361" s="76"/>
    </row>
    <row r="362" spans="8:8" ht="15.75" customHeight="1" x14ac:dyDescent="0.2">
      <c r="H362" s="76"/>
    </row>
    <row r="363" spans="8:8" ht="15.75" customHeight="1" x14ac:dyDescent="0.2">
      <c r="H363" s="76"/>
    </row>
    <row r="364" spans="8:8" ht="15.75" customHeight="1" x14ac:dyDescent="0.2">
      <c r="H364" s="76"/>
    </row>
    <row r="365" spans="8:8" ht="15.75" customHeight="1" x14ac:dyDescent="0.2">
      <c r="H365" s="76"/>
    </row>
    <row r="366" spans="8:8" ht="15.75" customHeight="1" x14ac:dyDescent="0.2">
      <c r="H366" s="76"/>
    </row>
    <row r="367" spans="8:8" ht="15.75" customHeight="1" x14ac:dyDescent="0.2">
      <c r="H367" s="76"/>
    </row>
    <row r="368" spans="8:8" ht="15.75" customHeight="1" x14ac:dyDescent="0.2">
      <c r="H368" s="76"/>
    </row>
    <row r="369" spans="8:8" ht="15.75" customHeight="1" x14ac:dyDescent="0.2">
      <c r="H369" s="76"/>
    </row>
    <row r="370" spans="8:8" ht="15.75" customHeight="1" x14ac:dyDescent="0.2">
      <c r="H370" s="76"/>
    </row>
    <row r="371" spans="8:8" ht="15.75" customHeight="1" x14ac:dyDescent="0.2">
      <c r="H371" s="76"/>
    </row>
    <row r="372" spans="8:8" ht="15.75" customHeight="1" x14ac:dyDescent="0.2">
      <c r="H372" s="76"/>
    </row>
    <row r="373" spans="8:8" ht="15.75" customHeight="1" x14ac:dyDescent="0.2">
      <c r="H373" s="76"/>
    </row>
    <row r="374" spans="8:8" ht="15.75" customHeight="1" x14ac:dyDescent="0.2">
      <c r="H374" s="76"/>
    </row>
    <row r="375" spans="8:8" ht="15.75" customHeight="1" x14ac:dyDescent="0.2">
      <c r="H375" s="76"/>
    </row>
    <row r="376" spans="8:8" ht="15.75" customHeight="1" x14ac:dyDescent="0.2">
      <c r="H376" s="76"/>
    </row>
    <row r="377" spans="8:8" ht="15.75" customHeight="1" x14ac:dyDescent="0.2">
      <c r="H377" s="76"/>
    </row>
    <row r="378" spans="8:8" ht="15.75" customHeight="1" x14ac:dyDescent="0.2">
      <c r="H378" s="76"/>
    </row>
    <row r="379" spans="8:8" ht="15.75" customHeight="1" x14ac:dyDescent="0.2">
      <c r="H379" s="76"/>
    </row>
    <row r="380" spans="8:8" ht="15.75" customHeight="1" x14ac:dyDescent="0.2">
      <c r="H380" s="76"/>
    </row>
    <row r="381" spans="8:8" ht="15.75" customHeight="1" x14ac:dyDescent="0.2">
      <c r="H381" s="76"/>
    </row>
    <row r="382" spans="8:8" ht="15.75" customHeight="1" x14ac:dyDescent="0.2">
      <c r="H382" s="76"/>
    </row>
    <row r="383" spans="8:8" ht="15.75" customHeight="1" x14ac:dyDescent="0.2">
      <c r="H383" s="76"/>
    </row>
    <row r="384" spans="8:8" ht="15.75" customHeight="1" x14ac:dyDescent="0.2">
      <c r="H384" s="76"/>
    </row>
    <row r="385" spans="8:8" ht="15.75" customHeight="1" x14ac:dyDescent="0.2">
      <c r="H385" s="76"/>
    </row>
    <row r="386" spans="8:8" ht="15.75" customHeight="1" x14ac:dyDescent="0.2">
      <c r="H386" s="76"/>
    </row>
    <row r="387" spans="8:8" ht="15.75" customHeight="1" x14ac:dyDescent="0.2">
      <c r="H387" s="76"/>
    </row>
    <row r="388" spans="8:8" ht="15.75" customHeight="1" x14ac:dyDescent="0.2">
      <c r="H388" s="76"/>
    </row>
    <row r="389" spans="8:8" ht="15.75" customHeight="1" x14ac:dyDescent="0.2">
      <c r="H389" s="76"/>
    </row>
    <row r="390" spans="8:8" ht="15.75" customHeight="1" x14ac:dyDescent="0.2">
      <c r="H390" s="76"/>
    </row>
    <row r="391" spans="8:8" ht="15.75" customHeight="1" x14ac:dyDescent="0.2">
      <c r="H391" s="76"/>
    </row>
    <row r="392" spans="8:8" ht="15.75" customHeight="1" x14ac:dyDescent="0.2">
      <c r="H392" s="76"/>
    </row>
    <row r="393" spans="8:8" ht="15.75" customHeight="1" x14ac:dyDescent="0.2">
      <c r="H393" s="76"/>
    </row>
    <row r="394" spans="8:8" ht="15.75" customHeight="1" x14ac:dyDescent="0.2">
      <c r="H394" s="76"/>
    </row>
    <row r="395" spans="8:8" ht="15.75" customHeight="1" x14ac:dyDescent="0.2">
      <c r="H395" s="76"/>
    </row>
    <row r="396" spans="8:8" ht="15.75" customHeight="1" x14ac:dyDescent="0.2">
      <c r="H396" s="76"/>
    </row>
    <row r="397" spans="8:8" ht="15.75" customHeight="1" x14ac:dyDescent="0.2">
      <c r="H397" s="76"/>
    </row>
    <row r="398" spans="8:8" ht="15.75" customHeight="1" x14ac:dyDescent="0.2">
      <c r="H398" s="76"/>
    </row>
    <row r="399" spans="8:8" ht="15.75" customHeight="1" x14ac:dyDescent="0.2">
      <c r="H399" s="76"/>
    </row>
    <row r="400" spans="8:8" ht="15.75" customHeight="1" x14ac:dyDescent="0.2">
      <c r="H400" s="76"/>
    </row>
    <row r="401" spans="8:8" ht="15.75" customHeight="1" x14ac:dyDescent="0.2">
      <c r="H401" s="76"/>
    </row>
    <row r="402" spans="8:8" ht="15.75" customHeight="1" x14ac:dyDescent="0.2">
      <c r="H402" s="76"/>
    </row>
    <row r="403" spans="8:8" ht="15.75" customHeight="1" x14ac:dyDescent="0.2">
      <c r="H403" s="76"/>
    </row>
    <row r="404" spans="8:8" ht="15.75" customHeight="1" x14ac:dyDescent="0.2">
      <c r="H404" s="76"/>
    </row>
    <row r="405" spans="8:8" ht="15.75" customHeight="1" x14ac:dyDescent="0.2">
      <c r="H405" s="76"/>
    </row>
    <row r="406" spans="8:8" ht="15.75" customHeight="1" x14ac:dyDescent="0.2">
      <c r="H406" s="76"/>
    </row>
    <row r="407" spans="8:8" ht="15.75" customHeight="1" x14ac:dyDescent="0.2">
      <c r="H407" s="76"/>
    </row>
    <row r="408" spans="8:8" ht="15.75" customHeight="1" x14ac:dyDescent="0.2">
      <c r="H408" s="76"/>
    </row>
    <row r="409" spans="8:8" ht="15.75" customHeight="1" x14ac:dyDescent="0.2">
      <c r="H409" s="76"/>
    </row>
    <row r="410" spans="8:8" ht="15.75" customHeight="1" x14ac:dyDescent="0.2">
      <c r="H410" s="76"/>
    </row>
    <row r="411" spans="8:8" ht="15.75" customHeight="1" x14ac:dyDescent="0.2">
      <c r="H411" s="76"/>
    </row>
    <row r="412" spans="8:8" ht="15.75" customHeight="1" x14ac:dyDescent="0.2">
      <c r="H412" s="76"/>
    </row>
    <row r="413" spans="8:8" ht="15.75" customHeight="1" x14ac:dyDescent="0.2">
      <c r="H413" s="76"/>
    </row>
    <row r="414" spans="8:8" ht="15.75" customHeight="1" x14ac:dyDescent="0.2">
      <c r="H414" s="76"/>
    </row>
    <row r="415" spans="8:8" ht="15.75" customHeight="1" x14ac:dyDescent="0.2">
      <c r="H415" s="76"/>
    </row>
    <row r="416" spans="8:8" ht="15.75" customHeight="1" x14ac:dyDescent="0.2">
      <c r="H416" s="76"/>
    </row>
    <row r="417" spans="8:8" ht="15.75" customHeight="1" x14ac:dyDescent="0.2">
      <c r="H417" s="76"/>
    </row>
    <row r="418" spans="8:8" ht="15.75" customHeight="1" x14ac:dyDescent="0.2">
      <c r="H418" s="76"/>
    </row>
    <row r="419" spans="8:8" ht="15.75" customHeight="1" x14ac:dyDescent="0.2">
      <c r="H419" s="76"/>
    </row>
    <row r="420" spans="8:8" ht="15.75" customHeight="1" x14ac:dyDescent="0.2">
      <c r="H420" s="76"/>
    </row>
    <row r="421" spans="8:8" ht="15.75" customHeight="1" x14ac:dyDescent="0.2">
      <c r="H421" s="76"/>
    </row>
    <row r="422" spans="8:8" ht="15.75" customHeight="1" x14ac:dyDescent="0.2">
      <c r="H422" s="76"/>
    </row>
    <row r="423" spans="8:8" ht="15.75" customHeight="1" x14ac:dyDescent="0.2">
      <c r="H423" s="76"/>
    </row>
    <row r="424" spans="8:8" ht="15.75" customHeight="1" x14ac:dyDescent="0.2">
      <c r="H424" s="76"/>
    </row>
    <row r="425" spans="8:8" ht="15.75" customHeight="1" x14ac:dyDescent="0.2">
      <c r="H425" s="76"/>
    </row>
    <row r="426" spans="8:8" ht="15.75" customHeight="1" x14ac:dyDescent="0.2">
      <c r="H426" s="76"/>
    </row>
    <row r="427" spans="8:8" ht="15.75" customHeight="1" x14ac:dyDescent="0.2">
      <c r="H427" s="76"/>
    </row>
    <row r="428" spans="8:8" ht="15.75" customHeight="1" x14ac:dyDescent="0.2">
      <c r="H428" s="76"/>
    </row>
    <row r="429" spans="8:8" ht="15.75" customHeight="1" x14ac:dyDescent="0.2">
      <c r="H429" s="76"/>
    </row>
    <row r="430" spans="8:8" ht="15.75" customHeight="1" x14ac:dyDescent="0.2">
      <c r="H430" s="76"/>
    </row>
    <row r="431" spans="8:8" ht="15.75" customHeight="1" x14ac:dyDescent="0.2">
      <c r="H431" s="76"/>
    </row>
    <row r="432" spans="8:8" ht="15.75" customHeight="1" x14ac:dyDescent="0.2">
      <c r="H432" s="76"/>
    </row>
    <row r="433" spans="8:8" ht="15.75" customHeight="1" x14ac:dyDescent="0.2">
      <c r="H433" s="76"/>
    </row>
    <row r="434" spans="8:8" ht="15.75" customHeight="1" x14ac:dyDescent="0.2">
      <c r="H434" s="76"/>
    </row>
    <row r="435" spans="8:8" ht="15.75" customHeight="1" x14ac:dyDescent="0.2">
      <c r="H435" s="76"/>
    </row>
    <row r="436" spans="8:8" ht="15.75" customHeight="1" x14ac:dyDescent="0.2">
      <c r="H436" s="76"/>
    </row>
    <row r="437" spans="8:8" ht="15.75" customHeight="1" x14ac:dyDescent="0.2">
      <c r="H437" s="76"/>
    </row>
    <row r="438" spans="8:8" ht="15.75" customHeight="1" x14ac:dyDescent="0.2">
      <c r="H438" s="76"/>
    </row>
    <row r="439" spans="8:8" ht="15.75" customHeight="1" x14ac:dyDescent="0.2">
      <c r="H439" s="76"/>
    </row>
    <row r="440" spans="8:8" ht="15.75" customHeight="1" x14ac:dyDescent="0.2">
      <c r="H440" s="76"/>
    </row>
    <row r="441" spans="8:8" ht="15.75" customHeight="1" x14ac:dyDescent="0.2">
      <c r="H441" s="76"/>
    </row>
    <row r="442" spans="8:8" ht="15.75" customHeight="1" x14ac:dyDescent="0.2">
      <c r="H442" s="76"/>
    </row>
    <row r="443" spans="8:8" ht="15.75" customHeight="1" x14ac:dyDescent="0.2">
      <c r="H443" s="76"/>
    </row>
    <row r="444" spans="8:8" ht="15.75" customHeight="1" x14ac:dyDescent="0.2">
      <c r="H444" s="76"/>
    </row>
    <row r="445" spans="8:8" ht="15.75" customHeight="1" x14ac:dyDescent="0.2">
      <c r="H445" s="76"/>
    </row>
    <row r="446" spans="8:8" ht="15.75" customHeight="1" x14ac:dyDescent="0.2">
      <c r="H446" s="76"/>
    </row>
    <row r="447" spans="8:8" ht="15.75" customHeight="1" x14ac:dyDescent="0.2">
      <c r="H447" s="76"/>
    </row>
    <row r="448" spans="8:8" ht="15.75" customHeight="1" x14ac:dyDescent="0.2">
      <c r="H448" s="76"/>
    </row>
    <row r="449" spans="8:8" ht="15.75" customHeight="1" x14ac:dyDescent="0.2">
      <c r="H449" s="76"/>
    </row>
    <row r="450" spans="8:8" ht="15.75" customHeight="1" x14ac:dyDescent="0.2">
      <c r="H450" s="76"/>
    </row>
    <row r="451" spans="8:8" ht="15.75" customHeight="1" x14ac:dyDescent="0.2">
      <c r="H451" s="76"/>
    </row>
    <row r="452" spans="8:8" ht="15.75" customHeight="1" x14ac:dyDescent="0.2">
      <c r="H452" s="76"/>
    </row>
    <row r="453" spans="8:8" ht="15.75" customHeight="1" x14ac:dyDescent="0.2">
      <c r="H453" s="76"/>
    </row>
    <row r="454" spans="8:8" ht="15.75" customHeight="1" x14ac:dyDescent="0.2">
      <c r="H454" s="76"/>
    </row>
    <row r="455" spans="8:8" ht="15.75" customHeight="1" x14ac:dyDescent="0.2">
      <c r="H455" s="76"/>
    </row>
    <row r="456" spans="8:8" ht="15.75" customHeight="1" x14ac:dyDescent="0.2">
      <c r="H456" s="76"/>
    </row>
    <row r="457" spans="8:8" ht="15.75" customHeight="1" x14ac:dyDescent="0.2">
      <c r="H457" s="76"/>
    </row>
    <row r="458" spans="8:8" ht="15.75" customHeight="1" x14ac:dyDescent="0.2">
      <c r="H458" s="76"/>
    </row>
    <row r="459" spans="8:8" ht="15.75" customHeight="1" x14ac:dyDescent="0.2">
      <c r="H459" s="76"/>
    </row>
    <row r="460" spans="8:8" ht="15.75" customHeight="1" x14ac:dyDescent="0.2">
      <c r="H460" s="76"/>
    </row>
    <row r="461" spans="8:8" ht="15.75" customHeight="1" x14ac:dyDescent="0.2">
      <c r="H461" s="76"/>
    </row>
    <row r="462" spans="8:8" ht="15.75" customHeight="1" x14ac:dyDescent="0.2">
      <c r="H462" s="76"/>
    </row>
    <row r="463" spans="8:8" ht="15.75" customHeight="1" x14ac:dyDescent="0.2">
      <c r="H463" s="76"/>
    </row>
    <row r="464" spans="8:8" ht="15.75" customHeight="1" x14ac:dyDescent="0.2">
      <c r="H464" s="76"/>
    </row>
    <row r="465" spans="8:8" ht="15.75" customHeight="1" x14ac:dyDescent="0.2">
      <c r="H465" s="76"/>
    </row>
    <row r="466" spans="8:8" ht="15.75" customHeight="1" x14ac:dyDescent="0.2">
      <c r="H466" s="76"/>
    </row>
    <row r="467" spans="8:8" ht="15.75" customHeight="1" x14ac:dyDescent="0.2">
      <c r="H467" s="76"/>
    </row>
    <row r="468" spans="8:8" ht="15.75" customHeight="1" x14ac:dyDescent="0.2">
      <c r="H468" s="76"/>
    </row>
    <row r="469" spans="8:8" ht="15.75" customHeight="1" x14ac:dyDescent="0.2">
      <c r="H469" s="76"/>
    </row>
    <row r="470" spans="8:8" ht="15.75" customHeight="1" x14ac:dyDescent="0.2">
      <c r="H470" s="76"/>
    </row>
    <row r="471" spans="8:8" ht="15.75" customHeight="1" x14ac:dyDescent="0.2">
      <c r="H471" s="76"/>
    </row>
    <row r="472" spans="8:8" ht="15.75" customHeight="1" x14ac:dyDescent="0.2">
      <c r="H472" s="76"/>
    </row>
    <row r="473" spans="8:8" ht="15.75" customHeight="1" x14ac:dyDescent="0.2">
      <c r="H473" s="76"/>
    </row>
    <row r="474" spans="8:8" ht="15.75" customHeight="1" x14ac:dyDescent="0.2">
      <c r="H474" s="76"/>
    </row>
    <row r="475" spans="8:8" ht="15.75" customHeight="1" x14ac:dyDescent="0.2">
      <c r="H475" s="76"/>
    </row>
    <row r="476" spans="8:8" ht="15.75" customHeight="1" x14ac:dyDescent="0.2">
      <c r="H476" s="76"/>
    </row>
    <row r="477" spans="8:8" ht="15.75" customHeight="1" x14ac:dyDescent="0.2">
      <c r="H477" s="76"/>
    </row>
    <row r="478" spans="8:8" ht="15.75" customHeight="1" x14ac:dyDescent="0.2">
      <c r="H478" s="76"/>
    </row>
    <row r="479" spans="8:8" ht="15.75" customHeight="1" x14ac:dyDescent="0.2">
      <c r="H479" s="76"/>
    </row>
    <row r="480" spans="8:8" ht="15.75" customHeight="1" x14ac:dyDescent="0.2">
      <c r="H480" s="76"/>
    </row>
    <row r="481" spans="8:8" ht="15.75" customHeight="1" x14ac:dyDescent="0.2">
      <c r="H481" s="76"/>
    </row>
    <row r="482" spans="8:8" ht="15.75" customHeight="1" x14ac:dyDescent="0.2">
      <c r="H482" s="76"/>
    </row>
    <row r="483" spans="8:8" ht="15.75" customHeight="1" x14ac:dyDescent="0.2">
      <c r="H483" s="76"/>
    </row>
    <row r="484" spans="8:8" ht="15.75" customHeight="1" x14ac:dyDescent="0.2">
      <c r="H484" s="76"/>
    </row>
    <row r="485" spans="8:8" ht="15.75" customHeight="1" x14ac:dyDescent="0.2">
      <c r="H485" s="76"/>
    </row>
    <row r="486" spans="8:8" ht="15.75" customHeight="1" x14ac:dyDescent="0.2">
      <c r="H486" s="76"/>
    </row>
    <row r="487" spans="8:8" ht="15.75" customHeight="1" x14ac:dyDescent="0.2">
      <c r="H487" s="76"/>
    </row>
    <row r="488" spans="8:8" ht="15.75" customHeight="1" x14ac:dyDescent="0.2">
      <c r="H488" s="76"/>
    </row>
    <row r="489" spans="8:8" ht="15.75" customHeight="1" x14ac:dyDescent="0.2">
      <c r="H489" s="76"/>
    </row>
    <row r="490" spans="8:8" ht="15.75" customHeight="1" x14ac:dyDescent="0.2">
      <c r="H490" s="76"/>
    </row>
    <row r="491" spans="8:8" ht="15.75" customHeight="1" x14ac:dyDescent="0.2">
      <c r="H491" s="76"/>
    </row>
    <row r="492" spans="8:8" ht="15.75" customHeight="1" x14ac:dyDescent="0.2">
      <c r="H492" s="76"/>
    </row>
    <row r="493" spans="8:8" ht="15.75" customHeight="1" x14ac:dyDescent="0.2">
      <c r="H493" s="76"/>
    </row>
    <row r="494" spans="8:8" ht="15.75" customHeight="1" x14ac:dyDescent="0.2">
      <c r="H494" s="76"/>
    </row>
    <row r="495" spans="8:8" ht="15.75" customHeight="1" x14ac:dyDescent="0.2">
      <c r="H495" s="76"/>
    </row>
    <row r="496" spans="8:8" ht="15.75" customHeight="1" x14ac:dyDescent="0.2">
      <c r="H496" s="76"/>
    </row>
    <row r="497" spans="8:8" ht="15.75" customHeight="1" x14ac:dyDescent="0.2">
      <c r="H497" s="76"/>
    </row>
    <row r="498" spans="8:8" ht="15.75" customHeight="1" x14ac:dyDescent="0.2">
      <c r="H498" s="76"/>
    </row>
    <row r="499" spans="8:8" ht="15.75" customHeight="1" x14ac:dyDescent="0.2">
      <c r="H499" s="76"/>
    </row>
    <row r="500" spans="8:8" ht="15.75" customHeight="1" x14ac:dyDescent="0.2">
      <c r="H500" s="76"/>
    </row>
    <row r="501" spans="8:8" ht="15.75" customHeight="1" x14ac:dyDescent="0.2">
      <c r="H501" s="76"/>
    </row>
    <row r="502" spans="8:8" ht="15.75" customHeight="1" x14ac:dyDescent="0.2">
      <c r="H502" s="76"/>
    </row>
    <row r="503" spans="8:8" ht="15.75" customHeight="1" x14ac:dyDescent="0.2">
      <c r="H503" s="76"/>
    </row>
    <row r="504" spans="8:8" ht="15.75" customHeight="1" x14ac:dyDescent="0.2">
      <c r="H504" s="76"/>
    </row>
    <row r="505" spans="8:8" ht="15.75" customHeight="1" x14ac:dyDescent="0.2">
      <c r="H505" s="76"/>
    </row>
    <row r="506" spans="8:8" ht="15.75" customHeight="1" x14ac:dyDescent="0.2">
      <c r="H506" s="76"/>
    </row>
    <row r="507" spans="8:8" ht="15.75" customHeight="1" x14ac:dyDescent="0.2">
      <c r="H507" s="76"/>
    </row>
    <row r="508" spans="8:8" ht="15.75" customHeight="1" x14ac:dyDescent="0.2">
      <c r="H508" s="76"/>
    </row>
    <row r="509" spans="8:8" ht="15.75" customHeight="1" x14ac:dyDescent="0.2">
      <c r="H509" s="76"/>
    </row>
    <row r="510" spans="8:8" ht="15.75" customHeight="1" x14ac:dyDescent="0.2">
      <c r="H510" s="76"/>
    </row>
    <row r="511" spans="8:8" ht="15.75" customHeight="1" x14ac:dyDescent="0.2">
      <c r="H511" s="76"/>
    </row>
    <row r="512" spans="8:8" ht="15.75" customHeight="1" x14ac:dyDescent="0.2">
      <c r="H512" s="76"/>
    </row>
    <row r="513" spans="8:8" ht="15.75" customHeight="1" x14ac:dyDescent="0.2">
      <c r="H513" s="76"/>
    </row>
    <row r="514" spans="8:8" ht="15.75" customHeight="1" x14ac:dyDescent="0.2">
      <c r="H514" s="76"/>
    </row>
    <row r="515" spans="8:8" ht="15.75" customHeight="1" x14ac:dyDescent="0.2">
      <c r="H515" s="76"/>
    </row>
    <row r="516" spans="8:8" ht="15.75" customHeight="1" x14ac:dyDescent="0.2">
      <c r="H516" s="76"/>
    </row>
    <row r="517" spans="8:8" ht="15.75" customHeight="1" x14ac:dyDescent="0.2">
      <c r="H517" s="76"/>
    </row>
    <row r="518" spans="8:8" ht="15.75" customHeight="1" x14ac:dyDescent="0.2">
      <c r="H518" s="76"/>
    </row>
    <row r="519" spans="8:8" ht="15.75" customHeight="1" x14ac:dyDescent="0.2">
      <c r="H519" s="76"/>
    </row>
    <row r="520" spans="8:8" ht="15.75" customHeight="1" x14ac:dyDescent="0.2">
      <c r="H520" s="76"/>
    </row>
    <row r="521" spans="8:8" ht="15.75" customHeight="1" x14ac:dyDescent="0.2">
      <c r="H521" s="76"/>
    </row>
    <row r="522" spans="8:8" ht="15.75" customHeight="1" x14ac:dyDescent="0.2">
      <c r="H522" s="76"/>
    </row>
    <row r="523" spans="8:8" ht="15.75" customHeight="1" x14ac:dyDescent="0.2">
      <c r="H523" s="76"/>
    </row>
    <row r="524" spans="8:8" ht="15.75" customHeight="1" x14ac:dyDescent="0.2">
      <c r="H524" s="76"/>
    </row>
    <row r="525" spans="8:8" ht="15.75" customHeight="1" x14ac:dyDescent="0.2">
      <c r="H525" s="76"/>
    </row>
    <row r="526" spans="8:8" ht="15.75" customHeight="1" x14ac:dyDescent="0.2">
      <c r="H526" s="76"/>
    </row>
    <row r="527" spans="8:8" ht="15.75" customHeight="1" x14ac:dyDescent="0.2">
      <c r="H527" s="76"/>
    </row>
    <row r="528" spans="8:8" ht="15.75" customHeight="1" x14ac:dyDescent="0.2">
      <c r="H528" s="76"/>
    </row>
    <row r="529" spans="8:8" ht="15.75" customHeight="1" x14ac:dyDescent="0.2">
      <c r="H529" s="76"/>
    </row>
    <row r="530" spans="8:8" ht="15.75" customHeight="1" x14ac:dyDescent="0.2">
      <c r="H530" s="76"/>
    </row>
    <row r="531" spans="8:8" ht="15.75" customHeight="1" x14ac:dyDescent="0.2">
      <c r="H531" s="76"/>
    </row>
    <row r="532" spans="8:8" ht="15.75" customHeight="1" x14ac:dyDescent="0.2">
      <c r="H532" s="76"/>
    </row>
    <row r="533" spans="8:8" ht="15.75" customHeight="1" x14ac:dyDescent="0.2">
      <c r="H533" s="76"/>
    </row>
    <row r="534" spans="8:8" ht="15.75" customHeight="1" x14ac:dyDescent="0.2">
      <c r="H534" s="76"/>
    </row>
    <row r="535" spans="8:8" ht="15.75" customHeight="1" x14ac:dyDescent="0.2">
      <c r="H535" s="76"/>
    </row>
    <row r="536" spans="8:8" ht="15.75" customHeight="1" x14ac:dyDescent="0.2">
      <c r="H536" s="76"/>
    </row>
    <row r="537" spans="8:8" ht="15.75" customHeight="1" x14ac:dyDescent="0.2">
      <c r="H537" s="76"/>
    </row>
    <row r="538" spans="8:8" ht="15.75" customHeight="1" x14ac:dyDescent="0.2">
      <c r="H538" s="76"/>
    </row>
    <row r="539" spans="8:8" ht="15.75" customHeight="1" x14ac:dyDescent="0.2">
      <c r="H539" s="76"/>
    </row>
    <row r="540" spans="8:8" ht="15.75" customHeight="1" x14ac:dyDescent="0.2">
      <c r="H540" s="76"/>
    </row>
    <row r="541" spans="8:8" ht="15.75" customHeight="1" x14ac:dyDescent="0.2">
      <c r="H541" s="76"/>
    </row>
    <row r="542" spans="8:8" ht="15.75" customHeight="1" x14ac:dyDescent="0.2">
      <c r="H542" s="76"/>
    </row>
    <row r="543" spans="8:8" ht="15.75" customHeight="1" x14ac:dyDescent="0.2">
      <c r="H543" s="76"/>
    </row>
    <row r="544" spans="8:8" ht="15.75" customHeight="1" x14ac:dyDescent="0.2">
      <c r="H544" s="76"/>
    </row>
    <row r="545" spans="8:8" ht="15.75" customHeight="1" x14ac:dyDescent="0.2">
      <c r="H545" s="76"/>
    </row>
    <row r="546" spans="8:8" ht="15.75" customHeight="1" x14ac:dyDescent="0.2">
      <c r="H546" s="76"/>
    </row>
    <row r="547" spans="8:8" ht="15.75" customHeight="1" x14ac:dyDescent="0.2">
      <c r="H547" s="76"/>
    </row>
    <row r="548" spans="8:8" ht="15.75" customHeight="1" x14ac:dyDescent="0.2">
      <c r="H548" s="76"/>
    </row>
    <row r="549" spans="8:8" ht="15.75" customHeight="1" x14ac:dyDescent="0.2">
      <c r="H549" s="76"/>
    </row>
    <row r="550" spans="8:8" ht="15.75" customHeight="1" x14ac:dyDescent="0.2">
      <c r="H550" s="76"/>
    </row>
    <row r="551" spans="8:8" ht="15.75" customHeight="1" x14ac:dyDescent="0.2">
      <c r="H551" s="76"/>
    </row>
    <row r="552" spans="8:8" ht="15.75" customHeight="1" x14ac:dyDescent="0.2">
      <c r="H552" s="76"/>
    </row>
    <row r="553" spans="8:8" ht="15.75" customHeight="1" x14ac:dyDescent="0.2">
      <c r="H553" s="76"/>
    </row>
    <row r="554" spans="8:8" ht="15.75" customHeight="1" x14ac:dyDescent="0.2">
      <c r="H554" s="76"/>
    </row>
    <row r="555" spans="8:8" ht="15.75" customHeight="1" x14ac:dyDescent="0.2">
      <c r="H555" s="76"/>
    </row>
    <row r="556" spans="8:8" ht="15.75" customHeight="1" x14ac:dyDescent="0.2">
      <c r="H556" s="76"/>
    </row>
    <row r="557" spans="8:8" ht="15.75" customHeight="1" x14ac:dyDescent="0.2">
      <c r="H557" s="76"/>
    </row>
    <row r="558" spans="8:8" ht="15.75" customHeight="1" x14ac:dyDescent="0.2">
      <c r="H558" s="76"/>
    </row>
    <row r="559" spans="8:8" ht="15.75" customHeight="1" x14ac:dyDescent="0.2">
      <c r="H559" s="76"/>
    </row>
    <row r="560" spans="8:8" ht="15.75" customHeight="1" x14ac:dyDescent="0.2">
      <c r="H560" s="76"/>
    </row>
    <row r="561" spans="8:8" ht="15.75" customHeight="1" x14ac:dyDescent="0.2">
      <c r="H561" s="76"/>
    </row>
    <row r="562" spans="8:8" ht="15.75" customHeight="1" x14ac:dyDescent="0.2">
      <c r="H562" s="76"/>
    </row>
    <row r="563" spans="8:8" ht="15.75" customHeight="1" x14ac:dyDescent="0.2">
      <c r="H563" s="76"/>
    </row>
    <row r="564" spans="8:8" ht="15.75" customHeight="1" x14ac:dyDescent="0.2">
      <c r="H564" s="76"/>
    </row>
    <row r="565" spans="8:8" ht="15.75" customHeight="1" x14ac:dyDescent="0.2">
      <c r="H565" s="76"/>
    </row>
    <row r="566" spans="8:8" ht="15.75" customHeight="1" x14ac:dyDescent="0.2">
      <c r="H566" s="76"/>
    </row>
    <row r="567" spans="8:8" ht="15.75" customHeight="1" x14ac:dyDescent="0.2">
      <c r="H567" s="76"/>
    </row>
    <row r="568" spans="8:8" ht="15.75" customHeight="1" x14ac:dyDescent="0.2">
      <c r="H568" s="76"/>
    </row>
    <row r="569" spans="8:8" ht="15.75" customHeight="1" x14ac:dyDescent="0.2">
      <c r="H569" s="76"/>
    </row>
    <row r="570" spans="8:8" ht="15.75" customHeight="1" x14ac:dyDescent="0.2">
      <c r="H570" s="76"/>
    </row>
    <row r="571" spans="8:8" ht="15.75" customHeight="1" x14ac:dyDescent="0.2">
      <c r="H571" s="76"/>
    </row>
    <row r="572" spans="8:8" ht="15.75" customHeight="1" x14ac:dyDescent="0.2">
      <c r="H572" s="76"/>
    </row>
    <row r="573" spans="8:8" ht="15.75" customHeight="1" x14ac:dyDescent="0.2">
      <c r="H573" s="76"/>
    </row>
    <row r="574" spans="8:8" ht="15.75" customHeight="1" x14ac:dyDescent="0.2">
      <c r="H574" s="76"/>
    </row>
    <row r="575" spans="8:8" ht="15.75" customHeight="1" x14ac:dyDescent="0.2">
      <c r="H575" s="76"/>
    </row>
    <row r="576" spans="8:8" ht="15.75" customHeight="1" x14ac:dyDescent="0.2">
      <c r="H576" s="76"/>
    </row>
    <row r="577" spans="8:8" ht="15.75" customHeight="1" x14ac:dyDescent="0.2">
      <c r="H577" s="76"/>
    </row>
    <row r="578" spans="8:8" ht="15.75" customHeight="1" x14ac:dyDescent="0.2">
      <c r="H578" s="76"/>
    </row>
    <row r="579" spans="8:8" ht="15.75" customHeight="1" x14ac:dyDescent="0.2">
      <c r="H579" s="76"/>
    </row>
    <row r="580" spans="8:8" ht="15.75" customHeight="1" x14ac:dyDescent="0.2">
      <c r="H580" s="76"/>
    </row>
    <row r="581" spans="8:8" ht="15.75" customHeight="1" x14ac:dyDescent="0.2">
      <c r="H581" s="76"/>
    </row>
    <row r="582" spans="8:8" ht="15.75" customHeight="1" x14ac:dyDescent="0.2">
      <c r="H582" s="76"/>
    </row>
    <row r="583" spans="8:8" ht="15.75" customHeight="1" x14ac:dyDescent="0.2">
      <c r="H583" s="76"/>
    </row>
    <row r="584" spans="8:8" ht="15.75" customHeight="1" x14ac:dyDescent="0.2">
      <c r="H584" s="76"/>
    </row>
    <row r="585" spans="8:8" ht="15.75" customHeight="1" x14ac:dyDescent="0.2">
      <c r="H585" s="76"/>
    </row>
    <row r="586" spans="8:8" ht="15.75" customHeight="1" x14ac:dyDescent="0.2">
      <c r="H586" s="76"/>
    </row>
    <row r="587" spans="8:8" ht="15.75" customHeight="1" x14ac:dyDescent="0.2">
      <c r="H587" s="76"/>
    </row>
    <row r="588" spans="8:8" ht="15.75" customHeight="1" x14ac:dyDescent="0.2">
      <c r="H588" s="76"/>
    </row>
    <row r="589" spans="8:8" ht="15.75" customHeight="1" x14ac:dyDescent="0.2">
      <c r="H589" s="76"/>
    </row>
    <row r="590" spans="8:8" ht="15.75" customHeight="1" x14ac:dyDescent="0.2">
      <c r="H590" s="76"/>
    </row>
    <row r="591" spans="8:8" ht="15.75" customHeight="1" x14ac:dyDescent="0.2">
      <c r="H591" s="76"/>
    </row>
    <row r="592" spans="8:8" ht="15.75" customHeight="1" x14ac:dyDescent="0.2">
      <c r="H592" s="76"/>
    </row>
    <row r="593" spans="8:8" ht="15.75" customHeight="1" x14ac:dyDescent="0.2">
      <c r="H593" s="76"/>
    </row>
    <row r="594" spans="8:8" ht="15.75" customHeight="1" x14ac:dyDescent="0.2">
      <c r="H594" s="76"/>
    </row>
    <row r="595" spans="8:8" ht="15.75" customHeight="1" x14ac:dyDescent="0.2">
      <c r="H595" s="76"/>
    </row>
    <row r="596" spans="8:8" ht="15.75" customHeight="1" x14ac:dyDescent="0.2">
      <c r="H596" s="76"/>
    </row>
    <row r="597" spans="8:8" ht="15.75" customHeight="1" x14ac:dyDescent="0.2">
      <c r="H597" s="76"/>
    </row>
    <row r="598" spans="8:8" ht="15.75" customHeight="1" x14ac:dyDescent="0.2">
      <c r="H598" s="76"/>
    </row>
    <row r="599" spans="8:8" ht="15.75" customHeight="1" x14ac:dyDescent="0.2">
      <c r="H599" s="76"/>
    </row>
    <row r="600" spans="8:8" ht="15.75" customHeight="1" x14ac:dyDescent="0.2">
      <c r="H600" s="76"/>
    </row>
    <row r="601" spans="8:8" ht="15.75" customHeight="1" x14ac:dyDescent="0.2">
      <c r="H601" s="76"/>
    </row>
    <row r="602" spans="8:8" ht="15.75" customHeight="1" x14ac:dyDescent="0.2">
      <c r="H602" s="76"/>
    </row>
    <row r="603" spans="8:8" ht="15.75" customHeight="1" x14ac:dyDescent="0.2">
      <c r="H603" s="76"/>
    </row>
    <row r="604" spans="8:8" ht="15.75" customHeight="1" x14ac:dyDescent="0.2">
      <c r="H604" s="76"/>
    </row>
    <row r="605" spans="8:8" ht="15.75" customHeight="1" x14ac:dyDescent="0.2">
      <c r="H605" s="76"/>
    </row>
    <row r="606" spans="8:8" ht="15.75" customHeight="1" x14ac:dyDescent="0.2">
      <c r="H606" s="76"/>
    </row>
    <row r="607" spans="8:8" ht="15.75" customHeight="1" x14ac:dyDescent="0.2">
      <c r="H607" s="74"/>
    </row>
    <row r="608" spans="8: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</sheetData>
  <mergeCells count="26">
    <mergeCell ref="B4:C4"/>
    <mergeCell ref="L4:X4"/>
    <mergeCell ref="D6:O6"/>
    <mergeCell ref="D4:H4"/>
    <mergeCell ref="J4:K4"/>
    <mergeCell ref="B5:C5"/>
    <mergeCell ref="D5:H5"/>
    <mergeCell ref="J5:K5"/>
    <mergeCell ref="B2:K2"/>
    <mergeCell ref="L2:AA2"/>
    <mergeCell ref="B3:C3"/>
    <mergeCell ref="D3:K3"/>
    <mergeCell ref="L3:T3"/>
    <mergeCell ref="U3:AA3"/>
    <mergeCell ref="B8:B10"/>
    <mergeCell ref="C8:C10"/>
    <mergeCell ref="D8:D10"/>
    <mergeCell ref="E8:E10"/>
    <mergeCell ref="L5:W5"/>
    <mergeCell ref="B6:C6"/>
    <mergeCell ref="F8:F10"/>
    <mergeCell ref="G8:G10"/>
    <mergeCell ref="H8:H10"/>
    <mergeCell ref="I8:I10"/>
    <mergeCell ref="J8:J10"/>
    <mergeCell ref="K8:K10"/>
  </mergeCells>
  <phoneticPr fontId="23" type="noConversion"/>
  <conditionalFormatting sqref="L10:AA10">
    <cfRule type="timePeriod" dxfId="0" priority="3" timePeriod="today">
      <formula>FLOOR(L10,1)=TODAY()</formula>
    </cfRule>
  </conditionalFormatting>
  <conditionalFormatting sqref="K11:K26">
    <cfRule type="colorScale" priority="4">
      <colorScale>
        <cfvo type="min"/>
        <cfvo type="max"/>
        <color rgb="FFFFFFFF"/>
        <color rgb="FF57BB8A"/>
      </colorScale>
    </cfRule>
  </conditionalFormatting>
  <conditionalFormatting sqref="K11:K26">
    <cfRule type="colorScale" priority="5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/>
  </sheetViews>
  <sheetFormatPr baseColWidth="10" defaultColWidth="14.42578125" defaultRowHeight="15" customHeight="1" x14ac:dyDescent="0.2"/>
  <cols>
    <col min="1" max="6" width="14.42578125" customWidth="1"/>
  </cols>
  <sheetData>
    <row r="1" spans="1:1" ht="15.75" customHeight="1" x14ac:dyDescent="0.2"/>
    <row r="2" spans="1:1" ht="15.75" customHeight="1" x14ac:dyDescent="0.2">
      <c r="A2" s="30" t="s">
        <v>17</v>
      </c>
    </row>
    <row r="3" spans="1:1" ht="15.75" customHeight="1" x14ac:dyDescent="0.2">
      <c r="A3" s="30" t="s">
        <v>18</v>
      </c>
    </row>
    <row r="4" spans="1:1" ht="15.75" customHeight="1" x14ac:dyDescent="0.2">
      <c r="A4" s="30" t="s">
        <v>19</v>
      </c>
    </row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Diagrama de Gantt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2026-01-02T09:30:34Z</dcterms:modified>
</cp:coreProperties>
</file>